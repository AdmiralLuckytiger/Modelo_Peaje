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pa\Desktop\MYS_P2\Modelo_B\"/>
    </mc:Choice>
  </mc:AlternateContent>
  <xr:revisionPtr revIDLastSave="0" documentId="13_ncr:1_{F900B960-8CC6-4EED-958D-D0A0C72741F3}" xr6:coauthVersionLast="47" xr6:coauthVersionMax="47" xr10:uidLastSave="{00000000-0000-0000-0000-000000000000}"/>
  <bookViews>
    <workbookView xWindow="-110" yWindow="-110" windowWidth="23240" windowHeight="1321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</definedName>
    <definedName name="ExternalData_1" localSheetId="4" hidden="1">CounterStatsByRep!$A$1:$G$2</definedName>
    <definedName name="ExternalData_1" localSheetId="2" hidden="1">DiscreteTimeStatsByRep!$A$1:$K$17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N2" i="20"/>
  <c r="N3" i="20"/>
  <c r="N4" i="20"/>
  <c r="N5" i="20"/>
  <c r="N6" i="20"/>
  <c r="N7" i="20"/>
  <c r="N8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O18" i="18" a="1"/>
  <c r="O18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P18" i="18" a="1"/>
  <c r="P18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T18" i="18" a="1"/>
  <c r="T18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M14" i="17" a="1"/>
  <c r="M14" i="17"/>
  <c r="M15" i="17" a="1"/>
  <c r="M15" i="17"/>
  <c r="M16" i="17" a="1"/>
  <c r="M16" i="17"/>
  <c r="M17" i="17" a="1"/>
  <c r="M17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N11" i="17" a="1"/>
  <c r="N11" i="17"/>
  <c r="N12" i="17" a="1"/>
  <c r="N12" i="17"/>
  <c r="N13" i="17" a="1"/>
  <c r="N13" i="17"/>
  <c r="N14" i="17" a="1"/>
  <c r="N14" i="17"/>
  <c r="N15" i="17" a="1"/>
  <c r="N15" i="17"/>
  <c r="N16" i="17" a="1"/>
  <c r="N16" i="17"/>
  <c r="N17" i="17" a="1"/>
  <c r="N17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O11" i="17" a="1"/>
  <c r="O11" i="17"/>
  <c r="O12" i="17" a="1"/>
  <c r="O12" i="17"/>
  <c r="O13" i="17" a="1"/>
  <c r="O13" i="17"/>
  <c r="O14" i="17" a="1"/>
  <c r="O14" i="17"/>
  <c r="O15" i="17" a="1"/>
  <c r="O15" i="17"/>
  <c r="O16" i="17" a="1"/>
  <c r="O16" i="17"/>
  <c r="O17" i="17" a="1"/>
  <c r="O17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13" i="17" a="1"/>
  <c r="P13" i="17"/>
  <c r="P14" i="17" a="1"/>
  <c r="P14" i="17"/>
  <c r="P15" i="17" a="1"/>
  <c r="P15" i="17"/>
  <c r="P16" i="17" a="1"/>
  <c r="P16" i="17"/>
  <c r="P17" i="17" a="1"/>
  <c r="P17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R14" i="17" a="1"/>
  <c r="R14" i="17"/>
  <c r="R15" i="17" a="1"/>
  <c r="R15" i="17"/>
  <c r="R16" i="17" a="1"/>
  <c r="R16" i="17"/>
  <c r="R17" i="17" a="1"/>
  <c r="R17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S11" i="17" a="1"/>
  <c r="S11" i="17"/>
  <c r="S12" i="17" a="1"/>
  <c r="S12" i="17"/>
  <c r="S13" i="17" a="1"/>
  <c r="S13" i="17"/>
  <c r="S14" i="17" a="1"/>
  <c r="S14" i="17"/>
  <c r="S15" i="17" a="1"/>
  <c r="S15" i="17"/>
  <c r="S16" i="17" a="1"/>
  <c r="S16" i="17"/>
  <c r="S17" i="17" a="1"/>
  <c r="S17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T11" i="17" a="1"/>
  <c r="T11" i="17"/>
  <c r="T12" i="17" a="1"/>
  <c r="T12" i="17"/>
  <c r="T13" i="17" a="1"/>
  <c r="T13" i="17"/>
  <c r="T14" i="17" a="1"/>
  <c r="T14" i="17"/>
  <c r="T15" i="17" a="1"/>
  <c r="T15" i="17"/>
  <c r="T16" i="17" a="1"/>
  <c r="T16" i="17"/>
  <c r="T17" i="17" a="1"/>
  <c r="T17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U11" i="17" a="1"/>
  <c r="U11" i="17"/>
  <c r="U12" i="17" a="1"/>
  <c r="U12" i="17"/>
  <c r="U13" i="17" a="1"/>
  <c r="U13" i="17"/>
  <c r="U14" i="17" a="1"/>
  <c r="U14" i="17"/>
  <c r="U15" i="17" a="1"/>
  <c r="U15" i="17"/>
  <c r="U16" i="17" a="1"/>
  <c r="U16" i="17"/>
  <c r="U17" i="17" a="1"/>
  <c r="U17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V11" i="17" a="1"/>
  <c r="V11" i="17"/>
  <c r="V12" i="17" a="1"/>
  <c r="V12" i="17"/>
  <c r="V13" i="17" a="1"/>
  <c r="V13" i="17"/>
  <c r="V14" i="17" a="1"/>
  <c r="V14" i="17"/>
  <c r="V15" i="17" a="1"/>
  <c r="V15" i="17"/>
  <c r="V16" i="17" a="1"/>
  <c r="V16" i="17"/>
  <c r="V17" i="17" a="1"/>
  <c r="V17" i="17"/>
  <c r="W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X11" i="17" a="1"/>
  <c r="X11" i="17"/>
  <c r="X12" i="17" a="1"/>
  <c r="X12" i="17"/>
  <c r="X13" i="17" a="1"/>
  <c r="X13" i="17"/>
  <c r="X14" i="17" a="1"/>
  <c r="X14" i="17"/>
  <c r="X15" i="17" a="1"/>
  <c r="X15" i="17"/>
  <c r="X16" i="17" a="1"/>
  <c r="X16" i="17"/>
  <c r="X17" i="17" a="1"/>
  <c r="X17" i="17"/>
  <c r="Y2" i="17"/>
  <c r="Y3" i="17"/>
  <c r="Y4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G2" i="16"/>
  <c r="Q17" i="17" l="1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<sst xmlns="http://schemas.openxmlformats.org/spreadsheetml/2006/main" count="479" uniqueCount="111">
  <si>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</si>
  <si>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</si>
  <si>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</si>
  <si>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</si>
  <si>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</si>
  <si>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</si>
  <si>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</si>
  <si>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</si>
  <si>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</si>
  <si>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</si>
  <si>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</si>
  <si>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</si>
  <si>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</si>
  <si>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</si>
  <si>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</si>
  <si>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</si>
  <si>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</si>
  <si>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</si>
  <si>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</si>
  <si>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</si>
  <si>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</si>
  <si>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</si>
  <si>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</si>
  <si>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</si>
  <si>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</si>
  <si>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</si>
  <si>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</si>
  <si>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</si>
  <si>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</si>
  <si>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</si>
  <si>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</si>
  <si>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</si>
  <si>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</si>
  <si>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</si>
  <si>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</si>
  <si>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</si>
  <si>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</si>
  <si>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</si>
  <si>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</si>
  <si>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</si>
  <si>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</si>
  <si>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</si>
  <si>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</si>
  <si>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</si>
  <si>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</si>
  <si>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</si>
  <si>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</si>
  <si>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</si>
  <si>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</si>
  <si>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</si>
  <si>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</si>
  <si>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</si>
  <si>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</si>
  <si>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</si>
  <si>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</si>
  <si>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</si>
  <si>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</si>
  <si>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</si>
  <si>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</si>
  <si>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</si>
  <si>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</si>
  <si>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</si>
  <si>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</si>
  <si>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</si>
  <si>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</si>
  <si>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</si>
  <si>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</si>
  <si>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</si>
  <si>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C:\Users\Edupa\Desktop\MYS_P2\Modelo_B\Modelo_B.p</t>
  </si>
  <si>
    <t>2024-12-22 15:44:17</t>
  </si>
  <si>
    <t>Caseta A.Queue</t>
  </si>
  <si>
    <t>Waiting Time</t>
  </si>
  <si>
    <t>Queue</t>
  </si>
  <si>
    <t>Caseta B.Queue</t>
  </si>
  <si>
    <t>Caseta C.Queue</t>
  </si>
  <si>
    <t>Caseta D.Queue</t>
  </si>
  <si>
    <t>Caseta E.Queue</t>
  </si>
  <si>
    <t>Cola Caseta A.Queue</t>
  </si>
  <si>
    <t>Cola Caseta B.Queue</t>
  </si>
  <si>
    <t>Cola Caseta C.Queue</t>
  </si>
  <si>
    <t>Cola Caseta D.Queue</t>
  </si>
  <si>
    <t>Cola Caseta E.Queue</t>
  </si>
  <si>
    <t>Vehículo</t>
  </si>
  <si>
    <t>NVA Time</t>
  </si>
  <si>
    <t>Entity</t>
  </si>
  <si>
    <t>Other Time</t>
  </si>
  <si>
    <t>Total Time</t>
  </si>
  <si>
    <t>Transfer Time</t>
  </si>
  <si>
    <t>VA Time</t>
  </si>
  <si>
    <t>Wait Time</t>
  </si>
  <si>
    <t>Agente</t>
  </si>
  <si>
    <t>Instantaneous Utilization</t>
  </si>
  <si>
    <t>Resource</t>
  </si>
  <si>
    <t>Number Busy</t>
  </si>
  <si>
    <t>Number Scheduled</t>
  </si>
  <si>
    <t>Number Waiting</t>
  </si>
  <si>
    <t>PC</t>
  </si>
  <si>
    <t>WIP</t>
  </si>
  <si>
    <t>Agente.NumberSeized</t>
  </si>
  <si>
    <t>Total Number Seized</t>
  </si>
  <si>
    <t>Agente.ScheduledUtilization</t>
  </si>
  <si>
    <t>Scheduled Utilization</t>
  </si>
  <si>
    <t>PC.NumberSeized</t>
  </si>
  <si>
    <t>PC.ScheduledUtilization</t>
  </si>
  <si>
    <t>System.NumberOut</t>
  </si>
  <si>
    <t>Number Out</t>
  </si>
  <si>
    <t>System</t>
  </si>
  <si>
    <t>Vehículo.NumberIn</t>
  </si>
  <si>
    <t>Number In</t>
  </si>
  <si>
    <t>Vehículo.NumberOut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</si>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</sst>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81678240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816782404" createdVersion="7" refreshedVersion="8" minRefreshableVersion="3" recordCount="1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gente"/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PC"/>
        <s v="Vehícul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0"/>
    </cacheField>
    <cacheField name="LastRecordedValue" numFmtId="0">
      <sharedItems containsSemiMixedTypes="0" containsString="0" containsNumber="1" containsInteg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817013889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817013889" createdVersion="7" refreshedVersion="8" minRefreshableVersion="3" recordCount="16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10"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Vehículo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.8719820925139901E-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.6166131621362599E-2"/>
    </cacheField>
    <cacheField name="Maximum" numFmtId="0">
      <sharedItems containsSemiMixedTypes="0" containsString="0" containsNumber="1" minValue="0" maxValue="0.220134063296751"/>
    </cacheField>
    <cacheField name="NumberObservations" numFmtId="0">
      <sharedItems containsSemiMixedTypes="0" containsString="0" containsNumber="1" containsInteger="1" minValue="2" maxValue="30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.8719820925139901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.8719820925139901E-2"/>
    </cacheField>
    <cacheField name="MaximumAverage" numFmtId="0">
      <sharedItems containsSemiMixedTypes="0" containsString="0" containsNumber="1" minValue="0" maxValue="5.8719820925139901E-2"/>
    </cacheField>
    <cacheField name="OverallMinimum" numFmtId="0">
      <sharedItems containsSemiMixedTypes="0" containsString="0" containsNumber="1" minValue="0" maxValue="2.6166131621362599E-2"/>
    </cacheField>
    <cacheField name="OverallMaximum" numFmtId="0">
      <sharedItems containsSemiMixedTypes="0" containsString="0" containsNumber="1" minValue="0" maxValue="0.220134063296751"/>
    </cacheField>
    <cacheField name="AverageNumberObservations" numFmtId="0">
      <sharedItems containsSemiMixedTypes="0" containsString="0" containsNumber="1" containsInteger="1" minValue="2" maxValue="306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817013889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Agente.NumberSeized"/>
        <s v="Agente.ScheduledUtilization"/>
        <s v="PC.NumberSeized"/>
        <s v="PC.ScheduledUtilization"/>
        <s v="System.NumberOut"/>
        <s v="Vehículo.NumberIn"/>
        <s v="Vehículo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0.155342693858361" maxValue="67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155342693858361" maxValue="671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155342693858361" maxValue="671"/>
    </cacheField>
    <cacheField name="Maximum" numFmtId="0">
      <sharedItems containsSemiMixedTypes="0" containsString="0" containsNumber="1" minValue="0.155342693858361" maxValue="6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4-12-22 15:44:17"/>
    <n v="1"/>
    <x v="0"/>
    <x v="0"/>
    <x v="0"/>
    <n v="0.155342693858361"/>
    <n v="3E+20"/>
    <n v="0"/>
    <n v="1"/>
    <n v="0"/>
    <n v="0"/>
    <s v="Unnamed ProjectAgenteInstantaneous UtilizationResource"/>
    <n v="1"/>
    <n v="0.155342693858361"/>
    <n v="0"/>
    <n v="0.95"/>
    <n v="4E+20"/>
    <n v="0.155342693858361"/>
    <n v="0.155342693858361"/>
    <n v="3E+20"/>
  </r>
  <r>
    <x v="0"/>
    <s v="2024-12-22 15:44:17"/>
    <n v="1"/>
    <x v="0"/>
    <x v="1"/>
    <x v="0"/>
    <n v="0.46602808157508402"/>
    <n v="3E+20"/>
    <n v="0"/>
    <n v="3"/>
    <n v="0"/>
    <n v="0"/>
    <s v="Unnamed ProjectAgenteNumber BusyResource"/>
    <n v="1"/>
    <n v="0.46602808157508402"/>
    <n v="0"/>
    <n v="0.95"/>
    <n v="4E+20"/>
    <n v="0.46602808157508402"/>
    <n v="0.46602808157508402"/>
    <n v="3E+20"/>
  </r>
  <r>
    <x v="0"/>
    <s v="2024-12-22 15:44:17"/>
    <n v="1"/>
    <x v="0"/>
    <x v="2"/>
    <x v="0"/>
    <n v="3"/>
    <n v="2E+20"/>
    <n v="3"/>
    <n v="3"/>
    <n v="3"/>
    <n v="0"/>
    <s v="Unnamed ProjectAgenteNumber ScheduledResource"/>
    <n v="1"/>
    <n v="3"/>
    <n v="0"/>
    <n v="0.95"/>
    <n v="4E+20"/>
    <n v="3"/>
    <n v="3"/>
    <n v="2E+20"/>
  </r>
  <r>
    <x v="0"/>
    <s v="2024-12-22 15:44:17"/>
    <n v="1"/>
    <x v="1"/>
    <x v="3"/>
    <x v="1"/>
    <n v="2.1279485259783799E-2"/>
    <n v="2E+20"/>
    <n v="0"/>
    <n v="1"/>
    <n v="0"/>
    <n v="0"/>
    <s v="Unnamed ProjectCaseta A.QueueNumber WaitingQueue"/>
    <n v="1"/>
    <n v="2.1279485259783799E-2"/>
    <n v="0"/>
    <n v="0.95"/>
    <n v="4E+20"/>
    <n v="2.1279485259783799E-2"/>
    <n v="2.1279485259783799E-2"/>
    <n v="2E+20"/>
  </r>
  <r>
    <x v="0"/>
    <s v="2024-12-22 15:44:17"/>
    <n v="1"/>
    <x v="2"/>
    <x v="3"/>
    <x v="1"/>
    <n v="3.0712798863567598E-3"/>
    <n v="2E+20"/>
    <n v="0"/>
    <n v="1"/>
    <n v="0"/>
    <n v="0"/>
    <s v="Unnamed ProjectCaseta B.QueueNumber WaitingQueue"/>
    <n v="1"/>
    <n v="3.0712798863567598E-3"/>
    <n v="0"/>
    <n v="0.95"/>
    <n v="4E+20"/>
    <n v="3.0712798863567598E-3"/>
    <n v="3.0712798863567598E-3"/>
    <n v="2E+20"/>
  </r>
  <r>
    <x v="0"/>
    <s v="2024-12-22 15:44:17"/>
    <n v="1"/>
    <x v="3"/>
    <x v="3"/>
    <x v="1"/>
    <n v="1.7624806851645601E-2"/>
    <n v="2E+20"/>
    <n v="0"/>
    <n v="1"/>
    <n v="0"/>
    <n v="0"/>
    <s v="Unnamed ProjectCaseta C.QueueNumber WaitingQueue"/>
    <n v="1"/>
    <n v="1.7624806851645601E-2"/>
    <n v="0"/>
    <n v="0.95"/>
    <n v="4E+20"/>
    <n v="1.7624806851645601E-2"/>
    <n v="1.7624806851645601E-2"/>
    <n v="2E+20"/>
  </r>
  <r>
    <x v="0"/>
    <s v="2024-12-22 15:44:17"/>
    <n v="1"/>
    <x v="4"/>
    <x v="3"/>
    <x v="1"/>
    <n v="3.18000237095797E-3"/>
    <n v="2E+20"/>
    <n v="0"/>
    <n v="1"/>
    <n v="0"/>
    <n v="0"/>
    <s v="Unnamed ProjectCaseta D.QueueNumber WaitingQueue"/>
    <n v="1"/>
    <n v="3.18000237095797E-3"/>
    <n v="0"/>
    <n v="0.95"/>
    <n v="4E+20"/>
    <n v="3.18000237095797E-3"/>
    <n v="3.18000237095797E-3"/>
    <n v="2E+20"/>
  </r>
  <r>
    <x v="0"/>
    <s v="2024-12-22 15:44:17"/>
    <n v="1"/>
    <x v="5"/>
    <x v="3"/>
    <x v="1"/>
    <n v="2.3280169512639299E-2"/>
    <n v="2E+20"/>
    <n v="0"/>
    <n v="1"/>
    <n v="0"/>
    <n v="0"/>
    <s v="Unnamed ProjectCaseta E.QueueNumber WaitingQueue"/>
    <n v="1"/>
    <n v="2.3280169512639299E-2"/>
    <n v="0"/>
    <n v="0.95"/>
    <n v="4E+20"/>
    <n v="2.3280169512639299E-2"/>
    <n v="2.3280169512639299E-2"/>
    <n v="2E+20"/>
  </r>
  <r>
    <x v="0"/>
    <s v="2024-12-22 15:44:17"/>
    <n v="1"/>
    <x v="6"/>
    <x v="3"/>
    <x v="1"/>
    <n v="4.3385529756664997E-3"/>
    <n v="2E+20"/>
    <n v="0"/>
    <n v="1"/>
    <n v="0"/>
    <n v="0"/>
    <s v="Unnamed ProjectCola Caseta A.QueueNumber WaitingQueue"/>
    <n v="1"/>
    <n v="4.3385529756664997E-3"/>
    <n v="0"/>
    <n v="0.95"/>
    <n v="4E+20"/>
    <n v="4.3385529756664997E-3"/>
    <n v="4.3385529756664997E-3"/>
    <n v="2E+20"/>
  </r>
  <r>
    <x v="0"/>
    <s v="2024-12-22 15:44:17"/>
    <n v="1"/>
    <x v="7"/>
    <x v="3"/>
    <x v="1"/>
    <n v="0"/>
    <n v="2E+20"/>
    <n v="0"/>
    <n v="0"/>
    <n v="0"/>
    <n v="0"/>
    <s v="Unnamed ProjectCola Caseta B.QueueNumber WaitingQueue"/>
    <n v="1"/>
    <n v="0"/>
    <n v="0"/>
    <n v="0.95"/>
    <n v="4E+20"/>
    <n v="0"/>
    <n v="0"/>
    <n v="2E+20"/>
  </r>
  <r>
    <x v="0"/>
    <s v="2024-12-22 15:44:17"/>
    <n v="1"/>
    <x v="8"/>
    <x v="3"/>
    <x v="1"/>
    <n v="6.4060912818958496E-3"/>
    <n v="2E+20"/>
    <n v="0"/>
    <n v="1"/>
    <n v="0"/>
    <n v="0"/>
    <s v="Unnamed ProjectCola Caseta C.QueueNumber WaitingQueue"/>
    <n v="1"/>
    <n v="6.4060912818958496E-3"/>
    <n v="0"/>
    <n v="0.95"/>
    <n v="4E+20"/>
    <n v="6.4060912818958496E-3"/>
    <n v="6.4060912818958496E-3"/>
    <n v="2E+20"/>
  </r>
  <r>
    <x v="0"/>
    <s v="2024-12-22 15:44:17"/>
    <n v="1"/>
    <x v="9"/>
    <x v="3"/>
    <x v="1"/>
    <n v="0"/>
    <n v="2E+20"/>
    <n v="0"/>
    <n v="0"/>
    <n v="0"/>
    <n v="0"/>
    <s v="Unnamed ProjectCola Caseta D.QueueNumber WaitingQueue"/>
    <n v="1"/>
    <n v="0"/>
    <n v="0"/>
    <n v="0.95"/>
    <n v="4E+20"/>
    <n v="0"/>
    <n v="0"/>
    <n v="2E+20"/>
  </r>
  <r>
    <x v="0"/>
    <s v="2024-12-22 15:44:17"/>
    <n v="1"/>
    <x v="10"/>
    <x v="3"/>
    <x v="1"/>
    <n v="6.6225852594185702E-3"/>
    <n v="2E+20"/>
    <n v="0"/>
    <n v="1"/>
    <n v="0"/>
    <n v="0"/>
    <s v="Unnamed ProjectCola Caseta E.QueueNumber WaitingQueue"/>
    <n v="1"/>
    <n v="6.6225852594185702E-3"/>
    <n v="0"/>
    <n v="0.95"/>
    <n v="4E+20"/>
    <n v="6.6225852594185702E-3"/>
    <n v="6.6225852594185702E-3"/>
    <n v="2E+20"/>
  </r>
  <r>
    <x v="0"/>
    <s v="2024-12-22 15:44:17"/>
    <n v="1"/>
    <x v="11"/>
    <x v="0"/>
    <x v="0"/>
    <n v="0.17329110259059599"/>
    <n v="2E+20"/>
    <n v="0"/>
    <n v="1"/>
    <n v="0"/>
    <n v="0"/>
    <s v="Unnamed ProjectPCInstantaneous UtilizationResource"/>
    <n v="1"/>
    <n v="0.17329110259059599"/>
    <n v="0"/>
    <n v="0.95"/>
    <n v="4E+20"/>
    <n v="0.17329110259059599"/>
    <n v="0.17329110259059599"/>
    <n v="2E+20"/>
  </r>
  <r>
    <x v="0"/>
    <s v="2024-12-22 15:44:17"/>
    <n v="1"/>
    <x v="11"/>
    <x v="1"/>
    <x v="0"/>
    <n v="0.34658220518119198"/>
    <n v="2E+20"/>
    <n v="0"/>
    <n v="2"/>
    <n v="0"/>
    <n v="0"/>
    <s v="Unnamed ProjectPCNumber BusyResource"/>
    <n v="1"/>
    <n v="0.34658220518119198"/>
    <n v="0"/>
    <n v="0.95"/>
    <n v="4E+20"/>
    <n v="0.34658220518119198"/>
    <n v="0.34658220518119198"/>
    <n v="2E+20"/>
  </r>
  <r>
    <x v="0"/>
    <s v="2024-12-22 15:44:17"/>
    <n v="1"/>
    <x v="11"/>
    <x v="2"/>
    <x v="0"/>
    <n v="2"/>
    <n v="2E+20"/>
    <n v="2"/>
    <n v="2"/>
    <n v="2"/>
    <n v="0"/>
    <s v="Unnamed ProjectPCNumber ScheduledResource"/>
    <n v="1"/>
    <n v="2"/>
    <n v="0"/>
    <n v="0.95"/>
    <n v="4E+20"/>
    <n v="2"/>
    <n v="2"/>
    <n v="2E+20"/>
  </r>
  <r>
    <x v="0"/>
    <s v="2024-12-22 15:44:17"/>
    <n v="1"/>
    <x v="12"/>
    <x v="4"/>
    <x v="2"/>
    <n v="0.89841326015464096"/>
    <n v="3E+20"/>
    <n v="0"/>
    <n v="10"/>
    <n v="0"/>
    <n v="0"/>
    <s v="Unnamed ProjectVehículoWIPEntity"/>
    <n v="1"/>
    <n v="0.89841326015464096"/>
    <n v="0"/>
    <n v="0.95"/>
    <n v="4E+20"/>
    <n v="0.89841326015464096"/>
    <n v="0.89841326015464096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s v="2024-12-22 15:44:17"/>
    <n v="1"/>
    <x v="0"/>
    <x v="0"/>
    <x v="0"/>
    <n v="3.6375188478262998E-3"/>
    <n v="2E+20"/>
    <n v="0"/>
    <n v="3.8560929836506802E-2"/>
    <n v="117"/>
    <s v="Unnamed ProjectCaseta A.QueueWaiting TimeQueue"/>
    <n v="1"/>
    <n v="3.6375188478262998E-3"/>
    <n v="0"/>
    <n v="0.95"/>
    <n v="4E+20"/>
    <n v="3.6375188478262998E-3"/>
    <n v="3.6375188478262998E-3"/>
    <n v="0"/>
    <n v="3.8560929836506802E-2"/>
    <n v="117"/>
    <n v="2E+20"/>
    <n v="1"/>
    <n v="1"/>
  </r>
  <r>
    <x v="0"/>
    <s v="2024-12-22 15:44:17"/>
    <n v="1"/>
    <x v="1"/>
    <x v="0"/>
    <x v="0"/>
    <n v="3.0712798863567599E-2"/>
    <n v="2E+20"/>
    <n v="2.6166131621362599E-2"/>
    <n v="3.5259466105772602E-2"/>
    <n v="2"/>
    <s v="Unnamed ProjectCaseta B.QueueWaiting TimeQueue"/>
    <n v="1"/>
    <n v="3.0712798863567599E-2"/>
    <n v="0"/>
    <n v="0.95"/>
    <n v="4E+20"/>
    <n v="3.0712798863567599E-2"/>
    <n v="3.0712798863567599E-2"/>
    <n v="2.6166131621362599E-2"/>
    <n v="3.5259466105772602E-2"/>
    <n v="2"/>
    <n v="2E+20"/>
    <n v="1"/>
    <n v="1"/>
  </r>
  <r>
    <x v="0"/>
    <s v="2024-12-22 15:44:17"/>
    <n v="1"/>
    <x v="2"/>
    <x v="0"/>
    <x v="0"/>
    <n v="3.1472869377938599E-3"/>
    <n v="2E+20"/>
    <n v="0"/>
    <n v="4.4679452480787897E-2"/>
    <n v="112"/>
    <s v="Unnamed ProjectCaseta C.QueueWaiting TimeQueue"/>
    <n v="1"/>
    <n v="3.1472869377938599E-3"/>
    <n v="0"/>
    <n v="0.95"/>
    <n v="4E+20"/>
    <n v="3.1472869377938599E-3"/>
    <n v="3.1472869377938599E-3"/>
    <n v="0"/>
    <n v="4.4679452480787897E-2"/>
    <n v="112"/>
    <n v="2E+20"/>
    <n v="1"/>
    <n v="1"/>
  </r>
  <r>
    <x v="0"/>
    <s v="2024-12-22 15:44:17"/>
    <n v="1"/>
    <x v="3"/>
    <x v="0"/>
    <x v="0"/>
    <n v="3.1800023709579697E-2"/>
    <n v="2E+20"/>
    <n v="0"/>
    <n v="6.3600047419159395E-2"/>
    <n v="2"/>
    <s v="Unnamed ProjectCaseta D.QueueWaiting TimeQueue"/>
    <n v="1"/>
    <n v="3.1800023709579697E-2"/>
    <n v="0"/>
    <n v="0.95"/>
    <n v="4E+20"/>
    <n v="3.1800023709579697E-2"/>
    <n v="3.1800023709579697E-2"/>
    <n v="0"/>
    <n v="6.3600047419159395E-2"/>
    <n v="2"/>
    <n v="2E+20"/>
    <n v="1"/>
    <n v="1"/>
  </r>
  <r>
    <x v="0"/>
    <s v="2024-12-22 15:44:17"/>
    <n v="1"/>
    <x v="4"/>
    <x v="0"/>
    <x v="0"/>
    <n v="6.3781286335998196E-3"/>
    <n v="2E+20"/>
    <n v="0"/>
    <n v="8.4064930725118003E-2"/>
    <n v="73"/>
    <s v="Unnamed ProjectCaseta E.QueueWaiting TimeQueue"/>
    <n v="1"/>
    <n v="6.3781286335998196E-3"/>
    <n v="0"/>
    <n v="0.95"/>
    <n v="4E+20"/>
    <n v="6.3781286335998196E-3"/>
    <n v="6.3781286335998196E-3"/>
    <n v="0"/>
    <n v="8.4064930725118003E-2"/>
    <n v="73"/>
    <n v="2E+20"/>
    <n v="1"/>
    <n v="1"/>
  </r>
  <r>
    <x v="0"/>
    <s v="2024-12-22 15:44:17"/>
    <n v="1"/>
    <x v="5"/>
    <x v="0"/>
    <x v="0"/>
    <n v="7.4163298729341899E-4"/>
    <n v="2E+20"/>
    <n v="0"/>
    <n v="3.78139086926517E-2"/>
    <n v="117"/>
    <s v="Unnamed ProjectCola Caseta A.QueueWaiting TimeQueue"/>
    <n v="1"/>
    <n v="7.4163298729341899E-4"/>
    <n v="0"/>
    <n v="0.95"/>
    <n v="4E+20"/>
    <n v="7.4163298729341899E-4"/>
    <n v="7.4163298729341899E-4"/>
    <n v="0"/>
    <n v="3.78139086926517E-2"/>
    <n v="117"/>
    <n v="2E+20"/>
    <n v="1"/>
    <n v="1"/>
  </r>
  <r>
    <x v="0"/>
    <s v="2024-12-22 15:44:17"/>
    <n v="1"/>
    <x v="6"/>
    <x v="0"/>
    <x v="0"/>
    <n v="0"/>
    <n v="2E+20"/>
    <n v="0"/>
    <n v="0"/>
    <n v="2"/>
    <s v="Unnamed ProjectCola Caseta B.QueueWaiting TimeQueue"/>
    <n v="1"/>
    <n v="0"/>
    <n v="0"/>
    <n v="0.95"/>
    <n v="4E+20"/>
    <n v="0"/>
    <n v="0"/>
    <n v="0"/>
    <n v="0"/>
    <n v="2"/>
    <n v="2E+20"/>
    <n v="1"/>
    <n v="1"/>
  </r>
  <r>
    <x v="0"/>
    <s v="2024-12-22 15:44:17"/>
    <n v="1"/>
    <x v="7"/>
    <x v="0"/>
    <x v="0"/>
    <n v="1.1439448717671199E-3"/>
    <n v="2E+20"/>
    <n v="0"/>
    <n v="3.82883039306827E-2"/>
    <n v="112"/>
    <s v="Unnamed ProjectCola Caseta C.QueueWaiting TimeQueue"/>
    <n v="1"/>
    <n v="1.1439448717671199E-3"/>
    <n v="0"/>
    <n v="0.95"/>
    <n v="4E+20"/>
    <n v="1.1439448717671199E-3"/>
    <n v="1.1439448717671199E-3"/>
    <n v="0"/>
    <n v="3.82883039306827E-2"/>
    <n v="112"/>
    <n v="2E+20"/>
    <n v="1"/>
    <n v="1"/>
  </r>
  <r>
    <x v="0"/>
    <s v="2024-12-22 15:44:17"/>
    <n v="1"/>
    <x v="8"/>
    <x v="0"/>
    <x v="0"/>
    <n v="0"/>
    <n v="2E+20"/>
    <n v="0"/>
    <n v="0"/>
    <n v="2"/>
    <s v="Unnamed ProjectCola Caseta D.QueueWaiting TimeQueue"/>
    <n v="1"/>
    <n v="0"/>
    <n v="0"/>
    <n v="0.95"/>
    <n v="4E+20"/>
    <n v="0"/>
    <n v="0"/>
    <n v="0"/>
    <n v="0"/>
    <n v="2"/>
    <n v="2E+20"/>
    <n v="1"/>
    <n v="1"/>
  </r>
  <r>
    <x v="0"/>
    <s v="2024-12-22 15:44:17"/>
    <n v="1"/>
    <x v="9"/>
    <x v="0"/>
    <x v="0"/>
    <n v="1.81440692038865E-3"/>
    <n v="2E+20"/>
    <n v="0"/>
    <n v="6.1532660968497403E-2"/>
    <n v="73"/>
    <s v="Unnamed ProjectCola Caseta E.QueueWaiting TimeQueue"/>
    <n v="1"/>
    <n v="1.81440692038865E-3"/>
    <n v="0"/>
    <n v="0.95"/>
    <n v="4E+20"/>
    <n v="1.81440692038865E-3"/>
    <n v="1.81440692038865E-3"/>
    <n v="0"/>
    <n v="6.1532660968497403E-2"/>
    <n v="73"/>
    <n v="2E+20"/>
    <n v="1"/>
    <n v="1"/>
  </r>
  <r>
    <x v="0"/>
    <s v="2024-12-22 15:44:17"/>
    <n v="1"/>
    <x v="10"/>
    <x v="1"/>
    <x v="1"/>
    <n v="0"/>
    <n v="2E+20"/>
    <n v="0"/>
    <n v="0"/>
    <n v="306"/>
    <s v="Unnamed ProjectVehículoNVA TimeEntity"/>
    <n v="1"/>
    <n v="0"/>
    <n v="0"/>
    <n v="0.95"/>
    <n v="4E+20"/>
    <n v="0"/>
    <n v="0"/>
    <n v="0"/>
    <n v="0"/>
    <n v="306"/>
    <n v="2E+20"/>
    <n v="1"/>
    <n v="1"/>
  </r>
  <r>
    <x v="0"/>
    <s v="2024-12-22 15:44:17"/>
    <n v="1"/>
    <x v="10"/>
    <x v="2"/>
    <x v="1"/>
    <n v="0"/>
    <n v="2E+20"/>
    <n v="0"/>
    <n v="0"/>
    <n v="306"/>
    <s v="Unnamed ProjectVehículoOther TimeEntity"/>
    <n v="1"/>
    <n v="0"/>
    <n v="0"/>
    <n v="0.95"/>
    <n v="4E+20"/>
    <n v="0"/>
    <n v="0"/>
    <n v="0"/>
    <n v="0"/>
    <n v="306"/>
    <n v="2E+20"/>
    <n v="1"/>
    <n v="1"/>
  </r>
  <r>
    <x v="0"/>
    <s v="2024-12-22 15:44:17"/>
    <n v="1"/>
    <x v="10"/>
    <x v="3"/>
    <x v="1"/>
    <n v="5.8719820925139901E-2"/>
    <n v="2E+20"/>
    <n v="0"/>
    <n v="0.220134063296751"/>
    <n v="306"/>
    <s v="Unnamed ProjectVehículoTotal TimeEntity"/>
    <n v="1"/>
    <n v="5.8719820925139901E-2"/>
    <n v="0"/>
    <n v="0.95"/>
    <n v="4E+20"/>
    <n v="5.8719820925139901E-2"/>
    <n v="5.8719820925139901E-2"/>
    <n v="0"/>
    <n v="0.220134063296751"/>
    <n v="306"/>
    <n v="2E+20"/>
    <n v="1"/>
    <n v="1"/>
  </r>
  <r>
    <x v="0"/>
    <s v="2024-12-22 15:44:17"/>
    <n v="1"/>
    <x v="10"/>
    <x v="4"/>
    <x v="1"/>
    <n v="0"/>
    <n v="2E+20"/>
    <n v="0"/>
    <n v="0"/>
    <n v="306"/>
    <s v="Unnamed ProjectVehículoTransfer TimeEntity"/>
    <n v="1"/>
    <n v="0"/>
    <n v="0"/>
    <n v="0.95"/>
    <n v="4E+20"/>
    <n v="0"/>
    <n v="0"/>
    <n v="0"/>
    <n v="0"/>
    <n v="306"/>
    <n v="2E+20"/>
    <n v="1"/>
    <n v="1"/>
  </r>
  <r>
    <x v="0"/>
    <s v="2024-12-22 15:44:17"/>
    <n v="1"/>
    <x v="10"/>
    <x v="5"/>
    <x v="1"/>
    <n v="5.3111783448122597E-2"/>
    <n v="2E+20"/>
    <n v="0"/>
    <n v="0.15305350327893999"/>
    <n v="306"/>
    <s v="Unnamed ProjectVehículoVA TimeEntity"/>
    <n v="1"/>
    <n v="5.3111783448122597E-2"/>
    <n v="0"/>
    <n v="0.95"/>
    <n v="4E+20"/>
    <n v="5.3111783448122597E-2"/>
    <n v="5.3111783448122597E-2"/>
    <n v="0"/>
    <n v="0.15305350327893999"/>
    <n v="306"/>
    <n v="2E+20"/>
    <n v="1"/>
    <n v="1"/>
  </r>
  <r>
    <x v="0"/>
    <s v="2024-12-22 15:44:17"/>
    <n v="1"/>
    <x v="10"/>
    <x v="6"/>
    <x v="1"/>
    <n v="5.60803747701729E-3"/>
    <n v="2E+20"/>
    <n v="0"/>
    <n v="9.9393367632950799E-2"/>
    <n v="306"/>
    <s v="Unnamed ProjectVehículoWait TimeEntity"/>
    <n v="1"/>
    <n v="5.60803747701729E-3"/>
    <n v="0"/>
    <n v="0.95"/>
    <n v="4E+20"/>
    <n v="5.60803747701729E-3"/>
    <n v="5.60803747701729E-3"/>
    <n v="0"/>
    <n v="9.9393367632950799E-2"/>
    <n v="306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4-12-22 15:44:17"/>
    <n v="1"/>
    <x v="0"/>
    <x v="0"/>
    <x v="0"/>
    <n v="231"/>
    <n v="0"/>
    <s v="Unnamed ProjectAgente.NumberSeizedTotal Number SeizedResource"/>
    <n v="1"/>
    <n v="231"/>
    <n v="0"/>
    <n v="0.95"/>
    <n v="4E+20"/>
    <n v="231"/>
    <n v="231"/>
  </r>
  <r>
    <x v="0"/>
    <s v="2024-12-22 15:44:17"/>
    <n v="1"/>
    <x v="1"/>
    <x v="1"/>
    <x v="0"/>
    <n v="0.155342693858361"/>
    <n v="0"/>
    <s v="Unnamed ProjectAgente.ScheduledUtilizationScheduled UtilizationResource"/>
    <n v="1"/>
    <n v="0.155342693858361"/>
    <n v="0"/>
    <n v="0.95"/>
    <n v="4E+20"/>
    <n v="0.155342693858361"/>
    <n v="0.155342693858361"/>
  </r>
  <r>
    <x v="0"/>
    <s v="2024-12-22 15:44:17"/>
    <n v="1"/>
    <x v="2"/>
    <x v="0"/>
    <x v="0"/>
    <n v="75"/>
    <n v="0"/>
    <s v="Unnamed ProjectPC.NumberSeizedTotal Number SeizedResource"/>
    <n v="1"/>
    <n v="75"/>
    <n v="0"/>
    <n v="0.95"/>
    <n v="4E+20"/>
    <n v="75"/>
    <n v="75"/>
  </r>
  <r>
    <x v="0"/>
    <s v="2024-12-22 15:44:17"/>
    <n v="1"/>
    <x v="3"/>
    <x v="1"/>
    <x v="0"/>
    <n v="0.17329110259059599"/>
    <n v="0"/>
    <s v="Unnamed ProjectPC.ScheduledUtilizationScheduled UtilizationResource"/>
    <n v="1"/>
    <n v="0.17329110259059599"/>
    <n v="0"/>
    <n v="0.95"/>
    <n v="4E+20"/>
    <n v="0.17329110259059599"/>
    <n v="0.17329110259059599"/>
  </r>
  <r>
    <x v="0"/>
    <s v="2024-12-22 15:44:17"/>
    <n v="1"/>
    <x v="4"/>
    <x v="2"/>
    <x v="1"/>
    <n v="306"/>
    <n v="0"/>
    <s v="Unnamed ProjectSystem.NumberOutNumber OutSystem"/>
    <n v="1"/>
    <n v="306"/>
    <n v="0"/>
    <n v="0.95"/>
    <n v="4E+20"/>
    <n v="306"/>
    <n v="306"/>
  </r>
  <r>
    <x v="0"/>
    <s v="2024-12-22 15:44:17"/>
    <n v="1"/>
    <x v="5"/>
    <x v="3"/>
    <x v="2"/>
    <n v="671"/>
    <n v="0"/>
    <s v="Unnamed ProjectVehículo.NumberInNumber InEntity"/>
    <n v="1"/>
    <n v="671"/>
    <n v="0"/>
    <n v="0.95"/>
    <n v="4E+20"/>
    <n v="671"/>
    <n v="671"/>
  </r>
  <r>
    <x v="0"/>
    <s v="2024-12-22 15:44:17"/>
    <n v="1"/>
    <x v="6"/>
    <x v="2"/>
    <x v="2"/>
    <n v="671"/>
    <n v="0"/>
    <s v="Unnamed ProjectVehículo.NumberOutNumber OutEntity"/>
    <n v="1"/>
    <n v="671"/>
    <n v="0"/>
    <n v="0.95"/>
    <n v="4E+20"/>
    <n v="671"/>
    <n v="6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/>
      <x v="2"/>
    </i>
    <i r="2">
      <x v="1"/>
      <x v="2"/>
    </i>
    <i r="2">
      <x v="2"/>
      <x v="2"/>
    </i>
    <i r="1">
      <x v="13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1"/>
        <item m="1" x="44"/>
        <item m="1" x="16"/>
        <item m="1" x="96"/>
        <item m="1" x="79"/>
        <item m="1" x="49"/>
        <item m="1" x="105"/>
        <item m="1" x="37"/>
        <item m="1" x="41"/>
        <item m="1" x="108"/>
        <item m="1" x="74"/>
        <item m="1" x="86"/>
        <item m="1" x="91"/>
        <item m="1" x="15"/>
        <item m="1" x="43"/>
        <item m="1" x="33"/>
        <item m="1" x="109"/>
        <item m="1" x="103"/>
        <item m="1" x="31"/>
        <item m="1" x="25"/>
        <item m="1" x="97"/>
        <item m="1" x="17"/>
        <item m="1" x="50"/>
        <item m="1" x="36"/>
        <item m="1" x="61"/>
        <item m="1" x="88"/>
        <item m="1" x="52"/>
        <item m="1" x="22"/>
        <item m="1" x="46"/>
        <item m="1" x="75"/>
        <item m="1" x="65"/>
        <item m="1" x="23"/>
        <item m="1" x="82"/>
        <item m="1" x="14"/>
        <item m="1" x="102"/>
        <item m="1" x="70"/>
        <item m="1" x="90"/>
        <item m="1" x="45"/>
        <item m="1" x="104"/>
        <item m="1" x="73"/>
        <item m="1" x="27"/>
        <item m="1" x="64"/>
        <item m="1" x="78"/>
        <item m="1" x="89"/>
        <item m="1" x="95"/>
        <item m="1" x="13"/>
        <item m="1" x="26"/>
        <item m="1" x="35"/>
        <item m="1" x="28"/>
        <item m="1" x="12"/>
        <item m="1" x="87"/>
        <item m="1" x="99"/>
        <item m="1" x="39"/>
        <item m="1" x="69"/>
        <item m="1" x="30"/>
        <item m="1" x="47"/>
        <item m="1" x="34"/>
        <item m="1" x="55"/>
        <item m="1" x="42"/>
        <item m="1" x="62"/>
        <item m="1" x="48"/>
        <item m="1" x="71"/>
        <item m="1" x="56"/>
        <item m="1" x="76"/>
        <item m="1" x="63"/>
        <item m="1" x="84"/>
        <item m="1" x="77"/>
        <item m="1" x="92"/>
        <item m="1" x="100"/>
        <item m="1" x="80"/>
        <item m="1" x="59"/>
        <item m="1" x="40"/>
        <item m="1" x="53"/>
        <item m="1" x="24"/>
        <item m="1" x="29"/>
        <item m="1" x="38"/>
        <item m="1" x="66"/>
        <item m="1" x="101"/>
        <item m="1" x="94"/>
        <item m="1" x="81"/>
        <item m="1" x="54"/>
        <item m="1" x="67"/>
        <item m="1" x="58"/>
        <item m="1" x="83"/>
        <item m="1" x="68"/>
        <item m="1" x="51"/>
        <item m="1" x="57"/>
        <item m="1" x="20"/>
        <item m="1" x="60"/>
        <item m="1" x="72"/>
        <item m="1" x="85"/>
        <item m="1" x="93"/>
        <item m="1" x="98"/>
        <item m="1" x="107"/>
        <item m="1" x="18"/>
        <item m="1" x="32"/>
        <item m="1" x="106"/>
        <item m="1" x="19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6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7"/>
      <x v="1"/>
    </i>
    <i r="1">
      <x v="10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4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7" tableType="queryTable" totalsRowShown="0">
  <autoFilter ref="A1:Y17" xr:uid="{C3D003CA-1AFF-426C-A03D-D3AF5760DF1A}"/>
  <sortState xmlns:xlrd2="http://schemas.microsoft.com/office/spreadsheetml/2017/richdata2" ref="A2:Y17">
    <sortCondition ref="D1:D17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" tableType="queryTable" totalsRowShown="0">
  <autoFilter ref="A1:U1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8.7265625" defaultRowHeight="14.5" x14ac:dyDescent="0.35"/>
  <cols>
    <col min="1" max="1" width="15.1796875" bestFit="1" customWidth="1"/>
    <col min="2" max="2" width="50.08984375" bestFit="1" customWidth="1"/>
    <col min="3" max="3" width="17.7265625" bestFit="1" customWidth="1"/>
    <col min="4" max="4" width="11.54296875" bestFit="1" customWidth="1"/>
    <col min="5" max="5" width="22.08984375" bestFit="1" customWidth="1"/>
    <col min="6" max="6" width="23.5429687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baseColWidth="10" defaultColWidth="8.7265625" defaultRowHeight="14.5" x14ac:dyDescent="0.35"/>
  <cols>
    <col min="1" max="1" width="33.36328125" customWidth="1"/>
    <col min="2" max="2" width="28.6328125" bestFit="1" customWidth="1"/>
    <col min="3" max="3" width="12.54296875" bestFit="1" customWidth="1"/>
    <col min="4" max="4" width="8.7265625" bestFit="1" customWidth="1"/>
    <col min="5" max="5" width="28" bestFit="1" customWidth="1"/>
    <col min="6" max="6" width="19.26953125" bestFit="1" customWidth="1"/>
    <col min="7" max="7" width="10.08984375" bestFit="1" customWidth="1"/>
    <col min="8" max="9" width="26.08984375" bestFit="1" customWidth="1"/>
    <col min="10" max="10" width="26.453125" bestFit="1" customWidth="1"/>
    <col min="11" max="11" width="15.6328125" bestFit="1" customWidth="1"/>
    <col min="12" max="12" width="16.08984375" bestFit="1" customWidth="1"/>
    <col min="13" max="13" width="28.63281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" bestFit="1" customWidth="1"/>
    <col min="20" max="20" width="10.08984375" bestFit="1" customWidth="1"/>
    <col min="21" max="21" width="26.08984375" bestFit="1" customWidth="1"/>
    <col min="22" max="22" width="21.1796875" bestFit="1" customWidth="1"/>
    <col min="23" max="23" width="21.54296875" bestFit="1" customWidth="1"/>
    <col min="24" max="24" width="15.63281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0.1796875" bestFit="1" customWidth="1"/>
    <col min="31" max="31" width="24.1796875" bestFit="1" customWidth="1"/>
    <col min="32" max="32" width="10" bestFit="1" customWidth="1"/>
    <col min="33" max="33" width="28.7265625" bestFit="1" customWidth="1"/>
    <col min="34" max="34" width="19.08984375" bestFit="1" customWidth="1"/>
    <col min="35" max="35" width="19.45312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1796875" bestFit="1" customWidth="1"/>
    <col min="42" max="42" width="10" bestFit="1" customWidth="1"/>
    <col min="43" max="43" width="28.7265625" bestFit="1" customWidth="1"/>
    <col min="44" max="44" width="19.08984375" bestFit="1" customWidth="1"/>
    <col min="45" max="45" width="19.45312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10.1796875" bestFit="1" customWidth="1"/>
    <col min="51" max="51" width="25.6328125" bestFit="1" customWidth="1"/>
    <col min="52" max="52" width="26.54296875" bestFit="1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3.6375188478262998E-3</v>
      </c>
      <c r="F3" s="5">
        <v>1</v>
      </c>
      <c r="G3" s="5">
        <v>2E+20</v>
      </c>
      <c r="H3" s="5">
        <v>0</v>
      </c>
      <c r="I3" s="5">
        <v>3.6375188478262998E-3</v>
      </c>
      <c r="J3" s="5">
        <v>3.6375188478262998E-3</v>
      </c>
      <c r="K3" s="5">
        <v>0</v>
      </c>
      <c r="L3" s="5">
        <v>3.8560929836506802E-2</v>
      </c>
      <c r="M3" s="5">
        <v>117</v>
      </c>
      <c r="O3" t="s">
        <v>66</v>
      </c>
      <c r="P3" t="s">
        <v>90</v>
      </c>
      <c r="Q3" t="s">
        <v>91</v>
      </c>
      <c r="R3" t="s">
        <v>92</v>
      </c>
      <c r="S3" s="5">
        <v>0.155342693858361</v>
      </c>
      <c r="T3" s="5">
        <v>3E+20</v>
      </c>
      <c r="U3" s="5">
        <v>0</v>
      </c>
      <c r="V3" s="5">
        <v>0.155342693858361</v>
      </c>
      <c r="W3" s="5">
        <v>0.155342693858361</v>
      </c>
      <c r="X3" s="5">
        <v>0</v>
      </c>
      <c r="Y3" s="5">
        <v>1</v>
      </c>
      <c r="AA3" t="s">
        <v>110</v>
      </c>
      <c r="AB3" t="s">
        <v>110</v>
      </c>
      <c r="AC3" t="s">
        <v>110</v>
      </c>
      <c r="AD3" t="s">
        <v>110</v>
      </c>
      <c r="AE3" s="5"/>
      <c r="AF3" s="5"/>
      <c r="AG3" s="5"/>
      <c r="AH3" s="5"/>
      <c r="AI3" s="5"/>
      <c r="AK3" t="s">
        <v>66</v>
      </c>
      <c r="AL3" t="s">
        <v>104</v>
      </c>
      <c r="AM3" t="s">
        <v>105</v>
      </c>
      <c r="AN3" t="s">
        <v>106</v>
      </c>
      <c r="AO3" s="5">
        <v>306</v>
      </c>
      <c r="AP3" s="5">
        <v>4E+20</v>
      </c>
      <c r="AQ3" s="5">
        <v>0</v>
      </c>
      <c r="AR3" s="5">
        <v>306</v>
      </c>
      <c r="AS3" s="5">
        <v>306</v>
      </c>
      <c r="AU3" t="s">
        <v>110</v>
      </c>
      <c r="AV3" t="s">
        <v>110</v>
      </c>
      <c r="AW3" t="s">
        <v>110</v>
      </c>
      <c r="AX3" t="s">
        <v>110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3.0712798863567599E-2</v>
      </c>
      <c r="F4" s="5">
        <v>1</v>
      </c>
      <c r="G4" s="5">
        <v>2E+20</v>
      </c>
      <c r="H4" s="5">
        <v>0</v>
      </c>
      <c r="I4" s="5">
        <v>3.0712798863567599E-2</v>
      </c>
      <c r="J4" s="5">
        <v>3.0712798863567599E-2</v>
      </c>
      <c r="K4" s="5">
        <v>2.6166131621362599E-2</v>
      </c>
      <c r="L4" s="5">
        <v>3.5259466105772602E-2</v>
      </c>
      <c r="M4" s="5">
        <v>2</v>
      </c>
      <c r="Q4" t="s">
        <v>93</v>
      </c>
      <c r="R4" t="s">
        <v>92</v>
      </c>
      <c r="S4" s="5">
        <v>0.46602808157508402</v>
      </c>
      <c r="T4" s="5">
        <v>3E+20</v>
      </c>
      <c r="U4" s="5">
        <v>0</v>
      </c>
      <c r="V4" s="5">
        <v>0.46602808157508402</v>
      </c>
      <c r="W4" s="5">
        <v>0.46602808157508402</v>
      </c>
      <c r="X4" s="5">
        <v>0</v>
      </c>
      <c r="Y4" s="5">
        <v>3</v>
      </c>
      <c r="AL4" t="s">
        <v>98</v>
      </c>
      <c r="AM4" t="s">
        <v>99</v>
      </c>
      <c r="AN4" t="s">
        <v>92</v>
      </c>
      <c r="AO4" s="5">
        <v>231</v>
      </c>
      <c r="AP4" s="5">
        <v>4E+20</v>
      </c>
      <c r="AQ4" s="5">
        <v>0</v>
      </c>
      <c r="AR4" s="5">
        <v>231</v>
      </c>
      <c r="AS4" s="5">
        <v>231</v>
      </c>
    </row>
    <row r="5" spans="1:52" x14ac:dyDescent="0.35">
      <c r="B5" t="s">
        <v>74</v>
      </c>
      <c r="C5" t="s">
        <v>71</v>
      </c>
      <c r="D5" t="s">
        <v>72</v>
      </c>
      <c r="E5" s="5">
        <v>3.1472869377938599E-3</v>
      </c>
      <c r="F5" s="5">
        <v>1</v>
      </c>
      <c r="G5" s="5">
        <v>2E+20</v>
      </c>
      <c r="H5" s="5">
        <v>0</v>
      </c>
      <c r="I5" s="5">
        <v>3.1472869377938599E-3</v>
      </c>
      <c r="J5" s="5">
        <v>3.1472869377938599E-3</v>
      </c>
      <c r="K5" s="5">
        <v>0</v>
      </c>
      <c r="L5" s="5">
        <v>4.4679452480787897E-2</v>
      </c>
      <c r="M5" s="5">
        <v>112</v>
      </c>
      <c r="Q5" t="s">
        <v>94</v>
      </c>
      <c r="R5" t="s">
        <v>92</v>
      </c>
      <c r="S5" s="5">
        <v>3</v>
      </c>
      <c r="T5" s="5">
        <v>2E+20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100</v>
      </c>
      <c r="AM5" t="s">
        <v>101</v>
      </c>
      <c r="AN5" t="s">
        <v>92</v>
      </c>
      <c r="AO5" s="5">
        <v>0.155342693858361</v>
      </c>
      <c r="AP5" s="5">
        <v>4E+20</v>
      </c>
      <c r="AQ5" s="5">
        <v>0</v>
      </c>
      <c r="AR5" s="5">
        <v>0.155342693858361</v>
      </c>
      <c r="AS5" s="5">
        <v>0.155342693858361</v>
      </c>
    </row>
    <row r="6" spans="1:52" x14ac:dyDescent="0.35">
      <c r="B6" t="s">
        <v>75</v>
      </c>
      <c r="C6" t="s">
        <v>71</v>
      </c>
      <c r="D6" t="s">
        <v>72</v>
      </c>
      <c r="E6" s="5">
        <v>3.1800023709579697E-2</v>
      </c>
      <c r="F6" s="5">
        <v>1</v>
      </c>
      <c r="G6" s="5">
        <v>2E+20</v>
      </c>
      <c r="H6" s="5">
        <v>0</v>
      </c>
      <c r="I6" s="5">
        <v>3.1800023709579697E-2</v>
      </c>
      <c r="J6" s="5">
        <v>3.1800023709579697E-2</v>
      </c>
      <c r="K6" s="5">
        <v>0</v>
      </c>
      <c r="L6" s="5">
        <v>6.3600047419159395E-2</v>
      </c>
      <c r="M6" s="5">
        <v>2</v>
      </c>
      <c r="P6" t="s">
        <v>70</v>
      </c>
      <c r="Q6" t="s">
        <v>95</v>
      </c>
      <c r="R6" t="s">
        <v>72</v>
      </c>
      <c r="S6" s="5">
        <v>2.1279485259783799E-2</v>
      </c>
      <c r="T6" s="5">
        <v>2E+20</v>
      </c>
      <c r="U6" s="5">
        <v>0</v>
      </c>
      <c r="V6" s="5">
        <v>2.1279485259783799E-2</v>
      </c>
      <c r="W6" s="5">
        <v>2.1279485259783799E-2</v>
      </c>
      <c r="X6" s="5">
        <v>0</v>
      </c>
      <c r="Y6" s="5">
        <v>1</v>
      </c>
      <c r="AL6" t="s">
        <v>102</v>
      </c>
      <c r="AM6" t="s">
        <v>99</v>
      </c>
      <c r="AN6" t="s">
        <v>92</v>
      </c>
      <c r="AO6" s="5">
        <v>75</v>
      </c>
      <c r="AP6" s="5">
        <v>4E+20</v>
      </c>
      <c r="AQ6" s="5">
        <v>0</v>
      </c>
      <c r="AR6" s="5">
        <v>75</v>
      </c>
      <c r="AS6" s="5">
        <v>75</v>
      </c>
    </row>
    <row r="7" spans="1:52" x14ac:dyDescent="0.35">
      <c r="B7" t="s">
        <v>76</v>
      </c>
      <c r="C7" t="s">
        <v>71</v>
      </c>
      <c r="D7" t="s">
        <v>72</v>
      </c>
      <c r="E7" s="5">
        <v>6.3781286335998196E-3</v>
      </c>
      <c r="F7" s="5">
        <v>1</v>
      </c>
      <c r="G7" s="5">
        <v>2E+20</v>
      </c>
      <c r="H7" s="5">
        <v>0</v>
      </c>
      <c r="I7" s="5">
        <v>6.3781286335998196E-3</v>
      </c>
      <c r="J7" s="5">
        <v>6.3781286335998196E-3</v>
      </c>
      <c r="K7" s="5">
        <v>0</v>
      </c>
      <c r="L7" s="5">
        <v>8.4064930725118003E-2</v>
      </c>
      <c r="M7" s="5">
        <v>73</v>
      </c>
      <c r="P7" t="s">
        <v>73</v>
      </c>
      <c r="Q7" t="s">
        <v>95</v>
      </c>
      <c r="R7" t="s">
        <v>72</v>
      </c>
      <c r="S7" s="5">
        <v>3.0712798863567598E-3</v>
      </c>
      <c r="T7" s="5">
        <v>2E+20</v>
      </c>
      <c r="U7" s="5">
        <v>0</v>
      </c>
      <c r="V7" s="5">
        <v>3.0712798863567598E-3</v>
      </c>
      <c r="W7" s="5">
        <v>3.0712798863567598E-3</v>
      </c>
      <c r="X7" s="5">
        <v>0</v>
      </c>
      <c r="Y7" s="5">
        <v>1</v>
      </c>
      <c r="AL7" t="s">
        <v>103</v>
      </c>
      <c r="AM7" t="s">
        <v>101</v>
      </c>
      <c r="AN7" t="s">
        <v>92</v>
      </c>
      <c r="AO7" s="5">
        <v>0.17329110259059599</v>
      </c>
      <c r="AP7" s="5">
        <v>4E+20</v>
      </c>
      <c r="AQ7" s="5">
        <v>0</v>
      </c>
      <c r="AR7" s="5">
        <v>0.17329110259059599</v>
      </c>
      <c r="AS7" s="5">
        <v>0.17329110259059599</v>
      </c>
    </row>
    <row r="8" spans="1:52" x14ac:dyDescent="0.35">
      <c r="B8" t="s">
        <v>77</v>
      </c>
      <c r="C8" t="s">
        <v>71</v>
      </c>
      <c r="D8" t="s">
        <v>72</v>
      </c>
      <c r="E8" s="5">
        <v>7.4163298729341899E-4</v>
      </c>
      <c r="F8" s="5">
        <v>1</v>
      </c>
      <c r="G8" s="5">
        <v>2E+20</v>
      </c>
      <c r="H8" s="5">
        <v>0</v>
      </c>
      <c r="I8" s="5">
        <v>7.4163298729341899E-4</v>
      </c>
      <c r="J8" s="5">
        <v>7.4163298729341899E-4</v>
      </c>
      <c r="K8" s="5">
        <v>0</v>
      </c>
      <c r="L8" s="5">
        <v>3.78139086926517E-2</v>
      </c>
      <c r="M8" s="5">
        <v>117</v>
      </c>
      <c r="P8" t="s">
        <v>74</v>
      </c>
      <c r="Q8" t="s">
        <v>95</v>
      </c>
      <c r="R8" t="s">
        <v>72</v>
      </c>
      <c r="S8" s="5">
        <v>1.7624806851645601E-2</v>
      </c>
      <c r="T8" s="5">
        <v>2E+20</v>
      </c>
      <c r="U8" s="5">
        <v>0</v>
      </c>
      <c r="V8" s="5">
        <v>1.7624806851645601E-2</v>
      </c>
      <c r="W8" s="5">
        <v>1.7624806851645601E-2</v>
      </c>
      <c r="X8" s="5">
        <v>0</v>
      </c>
      <c r="Y8" s="5">
        <v>1</v>
      </c>
      <c r="AL8" t="s">
        <v>107</v>
      </c>
      <c r="AM8" t="s">
        <v>108</v>
      </c>
      <c r="AN8" t="s">
        <v>84</v>
      </c>
      <c r="AO8" s="5">
        <v>671</v>
      </c>
      <c r="AP8" s="5">
        <v>4E+20</v>
      </c>
      <c r="AQ8" s="5">
        <v>0</v>
      </c>
      <c r="AR8" s="5">
        <v>671</v>
      </c>
      <c r="AS8" s="5">
        <v>671</v>
      </c>
    </row>
    <row r="9" spans="1:52" x14ac:dyDescent="0.35">
      <c r="B9" t="s">
        <v>78</v>
      </c>
      <c r="C9" t="s">
        <v>71</v>
      </c>
      <c r="D9" t="s">
        <v>72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2</v>
      </c>
      <c r="P9" t="s">
        <v>75</v>
      </c>
      <c r="Q9" t="s">
        <v>95</v>
      </c>
      <c r="R9" t="s">
        <v>72</v>
      </c>
      <c r="S9" s="5">
        <v>3.18000237095797E-3</v>
      </c>
      <c r="T9" s="5">
        <v>2E+20</v>
      </c>
      <c r="U9" s="5">
        <v>0</v>
      </c>
      <c r="V9" s="5">
        <v>3.18000237095797E-3</v>
      </c>
      <c r="W9" s="5">
        <v>3.18000237095797E-3</v>
      </c>
      <c r="X9" s="5">
        <v>0</v>
      </c>
      <c r="Y9" s="5">
        <v>1</v>
      </c>
      <c r="AL9" t="s">
        <v>109</v>
      </c>
      <c r="AM9" t="s">
        <v>105</v>
      </c>
      <c r="AN9" t="s">
        <v>84</v>
      </c>
      <c r="AO9" s="5">
        <v>671</v>
      </c>
      <c r="AP9" s="5">
        <v>4E+20</v>
      </c>
      <c r="AQ9" s="5">
        <v>0</v>
      </c>
      <c r="AR9" s="5">
        <v>671</v>
      </c>
      <c r="AS9" s="5">
        <v>671</v>
      </c>
    </row>
    <row r="10" spans="1:52" x14ac:dyDescent="0.35">
      <c r="B10" t="s">
        <v>79</v>
      </c>
      <c r="C10" t="s">
        <v>71</v>
      </c>
      <c r="D10" t="s">
        <v>72</v>
      </c>
      <c r="E10" s="5">
        <v>1.1439448717671199E-3</v>
      </c>
      <c r="F10" s="5">
        <v>1</v>
      </c>
      <c r="G10" s="5">
        <v>2E+20</v>
      </c>
      <c r="H10" s="5">
        <v>0</v>
      </c>
      <c r="I10" s="5">
        <v>1.1439448717671199E-3</v>
      </c>
      <c r="J10" s="5">
        <v>1.1439448717671199E-3</v>
      </c>
      <c r="K10" s="5">
        <v>0</v>
      </c>
      <c r="L10" s="5">
        <v>3.82883039306827E-2</v>
      </c>
      <c r="M10" s="5">
        <v>112</v>
      </c>
      <c r="P10" t="s">
        <v>76</v>
      </c>
      <c r="Q10" t="s">
        <v>95</v>
      </c>
      <c r="R10" t="s">
        <v>72</v>
      </c>
      <c r="S10" s="5">
        <v>2.3280169512639299E-2</v>
      </c>
      <c r="T10" s="5">
        <v>2E+20</v>
      </c>
      <c r="U10" s="5">
        <v>0</v>
      </c>
      <c r="V10" s="5">
        <v>2.3280169512639299E-2</v>
      </c>
      <c r="W10" s="5">
        <v>2.3280169512639299E-2</v>
      </c>
      <c r="X10" s="5">
        <v>0</v>
      </c>
      <c r="Y10" s="5">
        <v>1</v>
      </c>
    </row>
    <row r="11" spans="1:52" x14ac:dyDescent="0.35">
      <c r="B11" t="s">
        <v>80</v>
      </c>
      <c r="C11" t="s">
        <v>71</v>
      </c>
      <c r="D11" t="s">
        <v>72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</v>
      </c>
      <c r="P11" t="s">
        <v>77</v>
      </c>
      <c r="Q11" t="s">
        <v>95</v>
      </c>
      <c r="R11" t="s">
        <v>72</v>
      </c>
      <c r="S11" s="5">
        <v>4.3385529756664997E-3</v>
      </c>
      <c r="T11" s="5">
        <v>2E+20</v>
      </c>
      <c r="U11" s="5">
        <v>0</v>
      </c>
      <c r="V11" s="5">
        <v>4.3385529756664997E-3</v>
      </c>
      <c r="W11" s="5">
        <v>4.3385529756664997E-3</v>
      </c>
      <c r="X11" s="5">
        <v>0</v>
      </c>
      <c r="Y11" s="5">
        <v>1</v>
      </c>
    </row>
    <row r="12" spans="1:52" x14ac:dyDescent="0.35">
      <c r="B12" t="s">
        <v>81</v>
      </c>
      <c r="C12" t="s">
        <v>71</v>
      </c>
      <c r="D12" t="s">
        <v>72</v>
      </c>
      <c r="E12" s="5">
        <v>1.81440692038865E-3</v>
      </c>
      <c r="F12" s="5">
        <v>1</v>
      </c>
      <c r="G12" s="5">
        <v>2E+20</v>
      </c>
      <c r="H12" s="5">
        <v>0</v>
      </c>
      <c r="I12" s="5">
        <v>1.81440692038865E-3</v>
      </c>
      <c r="J12" s="5">
        <v>1.81440692038865E-3</v>
      </c>
      <c r="K12" s="5">
        <v>0</v>
      </c>
      <c r="L12" s="5">
        <v>6.1532660968497403E-2</v>
      </c>
      <c r="M12" s="5">
        <v>73</v>
      </c>
      <c r="P12" t="s">
        <v>78</v>
      </c>
      <c r="Q12" t="s">
        <v>95</v>
      </c>
      <c r="R12" t="s">
        <v>72</v>
      </c>
      <c r="S12" s="5">
        <v>0</v>
      </c>
      <c r="T12" s="5">
        <v>2E+20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</row>
    <row r="13" spans="1:52" x14ac:dyDescent="0.35">
      <c r="B13" t="s">
        <v>82</v>
      </c>
      <c r="C13" t="s">
        <v>83</v>
      </c>
      <c r="D13" t="s">
        <v>84</v>
      </c>
      <c r="E13" s="5">
        <v>0</v>
      </c>
      <c r="F13" s="5">
        <v>1</v>
      </c>
      <c r="G13" s="5">
        <v>2E+20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306</v>
      </c>
      <c r="P13" t="s">
        <v>79</v>
      </c>
      <c r="Q13" t="s">
        <v>95</v>
      </c>
      <c r="R13" t="s">
        <v>72</v>
      </c>
      <c r="S13" s="5">
        <v>6.4060912818958496E-3</v>
      </c>
      <c r="T13" s="5">
        <v>2E+20</v>
      </c>
      <c r="U13" s="5">
        <v>0</v>
      </c>
      <c r="V13" s="5">
        <v>6.4060912818958496E-3</v>
      </c>
      <c r="W13" s="5">
        <v>6.4060912818958496E-3</v>
      </c>
      <c r="X13" s="5">
        <v>0</v>
      </c>
      <c r="Y13" s="5">
        <v>1</v>
      </c>
    </row>
    <row r="14" spans="1:52" x14ac:dyDescent="0.35">
      <c r="C14" t="s">
        <v>85</v>
      </c>
      <c r="D14" t="s">
        <v>84</v>
      </c>
      <c r="E14" s="5">
        <v>0</v>
      </c>
      <c r="F14" s="5">
        <v>1</v>
      </c>
      <c r="G14" s="5">
        <v>2E+20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306</v>
      </c>
      <c r="P14" t="s">
        <v>80</v>
      </c>
      <c r="Q14" t="s">
        <v>95</v>
      </c>
      <c r="R14" t="s">
        <v>72</v>
      </c>
      <c r="S14" s="5">
        <v>0</v>
      </c>
      <c r="T14" s="5">
        <v>2E+20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</row>
    <row r="15" spans="1:52" x14ac:dyDescent="0.35">
      <c r="C15" t="s">
        <v>86</v>
      </c>
      <c r="D15" t="s">
        <v>84</v>
      </c>
      <c r="E15" s="5">
        <v>5.8719820925139901E-2</v>
      </c>
      <c r="F15" s="5">
        <v>1</v>
      </c>
      <c r="G15" s="5">
        <v>2E+20</v>
      </c>
      <c r="H15" s="5">
        <v>0</v>
      </c>
      <c r="I15" s="5">
        <v>5.8719820925139901E-2</v>
      </c>
      <c r="J15" s="5">
        <v>5.8719820925139901E-2</v>
      </c>
      <c r="K15" s="5">
        <v>0</v>
      </c>
      <c r="L15" s="5">
        <v>0.220134063296751</v>
      </c>
      <c r="M15" s="5">
        <v>306</v>
      </c>
      <c r="P15" t="s">
        <v>81</v>
      </c>
      <c r="Q15" t="s">
        <v>95</v>
      </c>
      <c r="R15" t="s">
        <v>72</v>
      </c>
      <c r="S15" s="5">
        <v>6.6225852594185702E-3</v>
      </c>
      <c r="T15" s="5">
        <v>2E+20</v>
      </c>
      <c r="U15" s="5">
        <v>0</v>
      </c>
      <c r="V15" s="5">
        <v>6.6225852594185702E-3</v>
      </c>
      <c r="W15" s="5">
        <v>6.6225852594185702E-3</v>
      </c>
      <c r="X15" s="5">
        <v>0</v>
      </c>
      <c r="Y15" s="5">
        <v>1</v>
      </c>
    </row>
    <row r="16" spans="1:52" x14ac:dyDescent="0.35">
      <c r="C16" t="s">
        <v>87</v>
      </c>
      <c r="D16" t="s">
        <v>84</v>
      </c>
      <c r="E16" s="5">
        <v>0</v>
      </c>
      <c r="F16" s="5">
        <v>1</v>
      </c>
      <c r="G16" s="5">
        <v>2E+20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306</v>
      </c>
      <c r="P16" t="s">
        <v>96</v>
      </c>
      <c r="Q16" t="s">
        <v>91</v>
      </c>
      <c r="R16" t="s">
        <v>92</v>
      </c>
      <c r="S16" s="5">
        <v>0.17329110259059599</v>
      </c>
      <c r="T16" s="5">
        <v>2E+20</v>
      </c>
      <c r="U16" s="5">
        <v>0</v>
      </c>
      <c r="V16" s="5">
        <v>0.17329110259059599</v>
      </c>
      <c r="W16" s="5">
        <v>0.17329110259059599</v>
      </c>
      <c r="X16" s="5">
        <v>0</v>
      </c>
      <c r="Y16" s="5">
        <v>1</v>
      </c>
    </row>
    <row r="17" spans="3:25" x14ac:dyDescent="0.35">
      <c r="C17" t="s">
        <v>88</v>
      </c>
      <c r="D17" t="s">
        <v>84</v>
      </c>
      <c r="E17" s="5">
        <v>5.3111783448122597E-2</v>
      </c>
      <c r="F17" s="5">
        <v>1</v>
      </c>
      <c r="G17" s="5">
        <v>2E+20</v>
      </c>
      <c r="H17" s="5">
        <v>0</v>
      </c>
      <c r="I17" s="5">
        <v>5.3111783448122597E-2</v>
      </c>
      <c r="J17" s="5">
        <v>5.3111783448122597E-2</v>
      </c>
      <c r="K17" s="5">
        <v>0</v>
      </c>
      <c r="L17" s="5">
        <v>0.15305350327893999</v>
      </c>
      <c r="M17" s="5">
        <v>306</v>
      </c>
      <c r="Q17" t="s">
        <v>93</v>
      </c>
      <c r="R17" t="s">
        <v>92</v>
      </c>
      <c r="S17" s="5">
        <v>0.34658220518119198</v>
      </c>
      <c r="T17" s="5">
        <v>2E+20</v>
      </c>
      <c r="U17" s="5">
        <v>0</v>
      </c>
      <c r="V17" s="5">
        <v>0.34658220518119198</v>
      </c>
      <c r="W17" s="5">
        <v>0.34658220518119198</v>
      </c>
      <c r="X17" s="5">
        <v>0</v>
      </c>
      <c r="Y17" s="5">
        <v>2</v>
      </c>
    </row>
    <row r="18" spans="3:25" x14ac:dyDescent="0.35">
      <c r="C18" t="s">
        <v>89</v>
      </c>
      <c r="D18" t="s">
        <v>84</v>
      </c>
      <c r="E18" s="5">
        <v>5.60803747701729E-3</v>
      </c>
      <c r="F18" s="5">
        <v>1</v>
      </c>
      <c r="G18" s="5">
        <v>2E+20</v>
      </c>
      <c r="H18" s="5">
        <v>0</v>
      </c>
      <c r="I18" s="5">
        <v>5.60803747701729E-3</v>
      </c>
      <c r="J18" s="5">
        <v>5.60803747701729E-3</v>
      </c>
      <c r="K18" s="5">
        <v>0</v>
      </c>
      <c r="L18" s="5">
        <v>9.9393367632950799E-2</v>
      </c>
      <c r="M18" s="5">
        <v>306</v>
      </c>
      <c r="Q18" t="s">
        <v>94</v>
      </c>
      <c r="R18" t="s">
        <v>92</v>
      </c>
      <c r="S18" s="5">
        <v>2</v>
      </c>
      <c r="T18" s="5">
        <v>2E+20</v>
      </c>
      <c r="U18" s="5">
        <v>0</v>
      </c>
      <c r="V18" s="5">
        <v>2</v>
      </c>
      <c r="W18" s="5">
        <v>2</v>
      </c>
      <c r="X18" s="5">
        <v>2</v>
      </c>
      <c r="Y18" s="5">
        <v>2</v>
      </c>
    </row>
    <row r="19" spans="3:25" x14ac:dyDescent="0.35">
      <c r="P19" t="s">
        <v>82</v>
      </c>
      <c r="Q19" t="s">
        <v>97</v>
      </c>
      <c r="R19" t="s">
        <v>84</v>
      </c>
      <c r="S19" s="5">
        <v>0.89841326015464096</v>
      </c>
      <c r="T19" s="5">
        <v>3E+20</v>
      </c>
      <c r="U19" s="5">
        <v>0</v>
      </c>
      <c r="V19" s="5">
        <v>0.89841326015464096</v>
      </c>
      <c r="W19" s="5">
        <v>0.89841326015464096</v>
      </c>
      <c r="X19" s="5">
        <v>0</v>
      </c>
      <c r="Y19" s="5">
        <v>10</v>
      </c>
    </row>
  </sheetData>
  <dataConsolidate/>
  <conditionalFormatting pivot="1" sqref="G3:G18">
    <cfRule type="expression" dxfId="31" priority="14">
      <formula>G3=200000000000000000000</formula>
    </cfRule>
  </conditionalFormatting>
  <conditionalFormatting pivot="1" sqref="T3:T19">
    <cfRule type="expression" dxfId="30" priority="13">
      <formula>T3=200000000000000000000</formula>
    </cfRule>
  </conditionalFormatting>
  <conditionalFormatting pivot="1" sqref="T3:T19">
    <cfRule type="expression" dxfId="29" priority="12">
      <formula>T3=300000000000000000000</formula>
    </cfRule>
  </conditionalFormatting>
  <conditionalFormatting pivot="1" sqref="G3:G18">
    <cfRule type="expression" dxfId="28" priority="11">
      <formula>G3=300000000000000000000</formula>
    </cfRule>
  </conditionalFormatting>
  <conditionalFormatting pivot="1" sqref="F3:F18">
    <cfRule type="expression" dxfId="27" priority="10">
      <formula>F3=0</formula>
    </cfRule>
  </conditionalFormatting>
  <conditionalFormatting pivot="1" sqref="F3:F18">
    <cfRule type="expression" dxfId="26" priority="9">
      <formula>F3=1</formula>
    </cfRule>
  </conditionalFormatting>
  <conditionalFormatting pivot="1" sqref="T3:T19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7"/>
  <sheetViews>
    <sheetView workbookViewId="0">
      <selection activeCell="A2" sqref="A2:K6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08984375" bestFit="1" customWidth="1"/>
    <col min="9" max="10" width="11.81640625" bestFit="1" customWidth="1"/>
    <col min="11" max="11" width="21.08984375" bestFit="1" customWidth="1"/>
    <col min="12" max="12" width="49.7265625" bestFit="1" customWidth="1"/>
    <col min="13" max="13" width="16" bestFit="1" customWidth="1"/>
    <col min="14" max="14" width="18.6328125" bestFit="1" customWidth="1"/>
    <col min="15" max="15" width="16.6328125" bestFit="1" customWidth="1"/>
    <col min="16" max="16" width="19" bestFit="1" customWidth="1"/>
    <col min="17" max="17" width="11.6328125" bestFit="1" customWidth="1"/>
    <col min="18" max="18" width="17.90625" bestFit="1" customWidth="1"/>
    <col min="19" max="19" width="18.36328125" bestFit="1" customWidth="1"/>
    <col min="20" max="20" width="17.08984375" bestFit="1" customWidth="1"/>
    <col min="21" max="21" width="17.453125" bestFit="1" customWidth="1"/>
    <col min="22" max="22" width="27.90625" bestFit="1" customWidth="1"/>
    <col min="23" max="23" width="19.6328125" bestFit="1" customWidth="1"/>
    <col min="24" max="24" width="22.6328125" bestFit="1" customWidth="1"/>
    <col min="25" max="25" width="21.089843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3.6375188478262998E-3</v>
      </c>
      <c r="H2">
        <v>2E+20</v>
      </c>
      <c r="I2">
        <v>0</v>
      </c>
      <c r="J2">
        <v>3.8560929836506802E-2</v>
      </c>
      <c r="K2">
        <v>117</v>
      </c>
      <c r="L2" t="str">
        <f>DiscreteStatsTable[[#This Row],[ProjectName]]&amp;DiscreteStatsTable[[#This Row],[Name]]&amp;DiscreteStatsTable[[#This Row],[Type]]&amp;DiscreteStatsTable[[#This Row],[Source]]</f>
        <v>Unnamed ProjectCaseta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3.6375188478262998E-3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3.6375188478262998E-3</v>
      </c>
      <c r="S2" cm="1">
        <f t="array" ref="S2">MAX(IF((DiscreteStatsTable[GroupByKey]=DiscreteStatsTable[[#This Row],[GroupByKey]]),(DiscreteStatsTable[GroupByKey]=DiscreteStatsTable[[#This Row],[GroupByKey]])*DiscreteStatsTable[Average]))</f>
        <v>3.6375188478262998E-3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3.8560929836506802E-2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117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3.0712798863567599E-2</v>
      </c>
      <c r="H3">
        <v>2E+20</v>
      </c>
      <c r="I3">
        <v>2.6166131621362599E-2</v>
      </c>
      <c r="J3">
        <v>3.5259466105772602E-2</v>
      </c>
      <c r="K3">
        <v>2</v>
      </c>
      <c r="L3" t="str">
        <f>DiscreteStatsTable[[#This Row],[ProjectName]]&amp;DiscreteStatsTable[[#This Row],[Name]]&amp;DiscreteStatsTable[[#This Row],[Type]]&amp;DiscreteStatsTable[[#This Row],[Source]]</f>
        <v>Unnamed ProjectCaseta B.QueueWaiting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3.0712798863567599E-2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3.0712798863567599E-2</v>
      </c>
      <c r="S3" cm="1">
        <f t="array" ref="S3">MAX(IF((DiscreteStatsTable[GroupByKey]=DiscreteStatsTable[[#This Row],[GroupByKey]]),(DiscreteStatsTable[GroupByKey]=DiscreteStatsTable[[#This Row],[GroupByKey]])*DiscreteStatsTable[Average]))</f>
        <v>3.0712798863567599E-2</v>
      </c>
      <c r="T3" cm="1">
        <f t="array" ref="T3">MIN(IF((DiscreteStatsTable[GroupByKey]=DiscreteStatsTable[[#This Row],[GroupByKey]]),(DiscreteStatsTable[GroupByKey]=DiscreteStatsTable[[#This Row],[GroupByKey]])*DiscreteStatsTable[Minimum]))</f>
        <v>2.6166131621362599E-2</v>
      </c>
      <c r="U3" cm="1">
        <f t="array" ref="U3">MAX(IF((DiscreteStatsTable[GroupByKey]=DiscreteStatsTable[[#This Row],[GroupByKey]]),(DiscreteStatsTable[GroupByKey]=DiscreteStatsTable[[#This Row],[GroupByKey]])*DiscreteStatsTable[Maximum]))</f>
        <v>3.5259466105772602E-2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3.1472869377938599E-3</v>
      </c>
      <c r="H4">
        <v>2E+20</v>
      </c>
      <c r="I4">
        <v>0</v>
      </c>
      <c r="J4">
        <v>4.4679452480787897E-2</v>
      </c>
      <c r="K4">
        <v>112</v>
      </c>
      <c r="L4" t="str">
        <f>DiscreteStatsTable[[#This Row],[ProjectName]]&amp;DiscreteStatsTable[[#This Row],[Name]]&amp;DiscreteStatsTable[[#This Row],[Type]]&amp;DiscreteStatsTable[[#This Row],[Source]]</f>
        <v>Unnamed ProjectCaseta C.QueueWaiting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3.1472869377938599E-3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3.1472869377938599E-3</v>
      </c>
      <c r="S4" cm="1">
        <f t="array" ref="S4">MAX(IF((DiscreteStatsTable[GroupByKey]=DiscreteStatsTable[[#This Row],[GroupByKey]]),(DiscreteStatsTable[GroupByKey]=DiscreteStatsTable[[#This Row],[GroupByKey]])*DiscreteStatsTable[Average]))</f>
        <v>3.1472869377938599E-3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4.4679452480787897E-2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112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3.1800023709579697E-2</v>
      </c>
      <c r="H5">
        <v>2E+20</v>
      </c>
      <c r="I5">
        <v>0</v>
      </c>
      <c r="J5">
        <v>6.3600047419159395E-2</v>
      </c>
      <c r="K5">
        <v>2</v>
      </c>
      <c r="L5" t="str">
        <f>DiscreteStatsTable[[#This Row],[ProjectName]]&amp;DiscreteStatsTable[[#This Row],[Name]]&amp;DiscreteStatsTable[[#This Row],[Type]]&amp;DiscreteStatsTable[[#This Row],[Source]]</f>
        <v>Unnamed ProjectCaseta D.QueueWaiting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3.1800023709579697E-2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3.1800023709579697E-2</v>
      </c>
      <c r="S5" cm="1">
        <f t="array" ref="S5">MAX(IF((DiscreteStatsTable[GroupByKey]=DiscreteStatsTable[[#This Row],[GroupByKey]]),(DiscreteStatsTable[GroupByKey]=DiscreteStatsTable[[#This Row],[GroupByKey]])*DiscreteStatsTable[Average]))</f>
        <v>3.1800023709579697E-2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6.3600047419159395E-2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6.3781286335998196E-3</v>
      </c>
      <c r="H6">
        <v>2E+20</v>
      </c>
      <c r="I6">
        <v>0</v>
      </c>
      <c r="J6">
        <v>8.4064930725118003E-2</v>
      </c>
      <c r="K6">
        <v>73</v>
      </c>
      <c r="L6" t="str">
        <f>DiscreteStatsTable[[#This Row],[ProjectName]]&amp;DiscreteStatsTable[[#This Row],[Name]]&amp;DiscreteStatsTable[[#This Row],[Type]]&amp;DiscreteStatsTable[[#This Row],[Source]]</f>
        <v>Unnamed ProjectCaseta E.QueueWaiting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6.3781286335998196E-3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6.3781286335998196E-3</v>
      </c>
      <c r="S6" cm="1">
        <f t="array" ref="S6">MAX(IF((DiscreteStatsTable[GroupByKey]=DiscreteStatsTable[[#This Row],[GroupByKey]]),(DiscreteStatsTable[GroupByKey]=DiscreteStatsTable[[#This Row],[GroupByKey]])*DiscreteStatsTable[Average]))</f>
        <v>6.3781286335998196E-3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8.4064930725118003E-2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73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71</v>
      </c>
      <c r="F7" t="s">
        <v>72</v>
      </c>
      <c r="G7">
        <v>7.4163298729341899E-4</v>
      </c>
      <c r="H7">
        <v>2E+20</v>
      </c>
      <c r="I7">
        <v>0</v>
      </c>
      <c r="J7">
        <v>3.78139086926517E-2</v>
      </c>
      <c r="K7">
        <v>117</v>
      </c>
      <c r="L7" t="str">
        <f>DiscreteStatsTable[[#This Row],[ProjectName]]&amp;DiscreteStatsTable[[#This Row],[Name]]&amp;DiscreteStatsTable[[#This Row],[Type]]&amp;DiscreteStatsTable[[#This Row],[Source]]</f>
        <v>Unnamed ProjectCola Caseta 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7.4163298729341899E-4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7.4163298729341899E-4</v>
      </c>
      <c r="S7" cm="1">
        <f t="array" ref="S7">MAX(IF((DiscreteStatsTable[GroupByKey]=DiscreteStatsTable[[#This Row],[GroupByKey]]),(DiscreteStatsTable[GroupByKey]=DiscreteStatsTable[[#This Row],[GroupByKey]])*DiscreteStatsTable[Average]))</f>
        <v>7.4163298729341899E-4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3.78139086926517E-2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117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2</v>
      </c>
      <c r="L8" t="str">
        <f>DiscreteStatsTable[[#This Row],[ProjectName]]&amp;DiscreteStatsTable[[#This Row],[Name]]&amp;DiscreteStatsTable[[#This Row],[Type]]&amp;DiscreteStatsTable[[#This Row],[Source]]</f>
        <v>Unnamed ProjectCola Caseta B.QueueWaiting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79</v>
      </c>
      <c r="E9" t="s">
        <v>71</v>
      </c>
      <c r="F9" t="s">
        <v>72</v>
      </c>
      <c r="G9">
        <v>1.1439448717671199E-3</v>
      </c>
      <c r="H9">
        <v>2E+20</v>
      </c>
      <c r="I9">
        <v>0</v>
      </c>
      <c r="J9">
        <v>3.82883039306827E-2</v>
      </c>
      <c r="K9">
        <v>112</v>
      </c>
      <c r="L9" t="str">
        <f>DiscreteStatsTable[[#This Row],[ProjectName]]&amp;DiscreteStatsTable[[#This Row],[Name]]&amp;DiscreteStatsTable[[#This Row],[Type]]&amp;DiscreteStatsTable[[#This Row],[Source]]</f>
        <v>Unnamed ProjectCola Caseta C.QueueWaiting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1.1439448717671199E-3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1.1439448717671199E-3</v>
      </c>
      <c r="S9" cm="1">
        <f t="array" ref="S9">MAX(IF((DiscreteStatsTable[GroupByKey]=DiscreteStatsTable[[#This Row],[GroupByKey]]),(DiscreteStatsTable[GroupByKey]=DiscreteStatsTable[[#This Row],[GroupByKey]])*DiscreteStatsTable[Average]))</f>
        <v>1.1439448717671199E-3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3.82883039306827E-2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112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80</v>
      </c>
      <c r="E10" t="s">
        <v>71</v>
      </c>
      <c r="F10" t="s">
        <v>72</v>
      </c>
      <c r="G10">
        <v>0</v>
      </c>
      <c r="H10">
        <v>2E+20</v>
      </c>
      <c r="I10">
        <v>0</v>
      </c>
      <c r="J10">
        <v>0</v>
      </c>
      <c r="K10">
        <v>2</v>
      </c>
      <c r="L10" t="str">
        <f>DiscreteStatsTable[[#This Row],[ProjectName]]&amp;DiscreteStatsTable[[#This Row],[Name]]&amp;DiscreteStatsTable[[#This Row],[Type]]&amp;DiscreteStatsTable[[#This Row],[Source]]</f>
        <v>Unnamed ProjectCola Caseta D.QueueWaiting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81</v>
      </c>
      <c r="E11" t="s">
        <v>71</v>
      </c>
      <c r="F11" t="s">
        <v>72</v>
      </c>
      <c r="G11">
        <v>1.81440692038865E-3</v>
      </c>
      <c r="H11">
        <v>2E+20</v>
      </c>
      <c r="I11">
        <v>0</v>
      </c>
      <c r="J11">
        <v>6.1532660968497403E-2</v>
      </c>
      <c r="K11">
        <v>73</v>
      </c>
      <c r="L11" t="str">
        <f>DiscreteStatsTable[[#This Row],[ProjectName]]&amp;DiscreteStatsTable[[#This Row],[Name]]&amp;DiscreteStatsTable[[#This Row],[Type]]&amp;DiscreteStatsTable[[#This Row],[Source]]</f>
        <v>Unnamed ProjectCola Caseta E.QueueWaiting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1.81440692038865E-3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1.81440692038865E-3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1.81440692038865E-3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6.1532660968497403E-2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73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82</v>
      </c>
      <c r="E12" t="s">
        <v>83</v>
      </c>
      <c r="F12" t="s">
        <v>84</v>
      </c>
      <c r="G12">
        <v>0</v>
      </c>
      <c r="H12">
        <v>2E+20</v>
      </c>
      <c r="I12">
        <v>0</v>
      </c>
      <c r="J12">
        <v>0</v>
      </c>
      <c r="K12">
        <v>306</v>
      </c>
      <c r="L12" t="str">
        <f>DiscreteStatsTable[[#This Row],[ProjectName]]&amp;DiscreteStatsTable[[#This Row],[Name]]&amp;DiscreteStatsTable[[#This Row],[Type]]&amp;DiscreteStatsTable[[#This Row],[Source]]</f>
        <v>Unnamed ProjectVehículoNVA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306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82</v>
      </c>
      <c r="E13" t="s">
        <v>85</v>
      </c>
      <c r="F13" t="s">
        <v>84</v>
      </c>
      <c r="G13">
        <v>0</v>
      </c>
      <c r="H13">
        <v>2E+20</v>
      </c>
      <c r="I13">
        <v>0</v>
      </c>
      <c r="J13">
        <v>0</v>
      </c>
      <c r="K13">
        <v>306</v>
      </c>
      <c r="L13" t="str">
        <f>DiscreteStatsTable[[#This Row],[ProjectName]]&amp;DiscreteStatsTable[[#This Row],[Name]]&amp;DiscreteStatsTable[[#This Row],[Type]]&amp;DiscreteStatsTable[[#This Row],[Source]]</f>
        <v>Unnamed ProjectVehículoOther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306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82</v>
      </c>
      <c r="E14" t="s">
        <v>86</v>
      </c>
      <c r="F14" t="s">
        <v>84</v>
      </c>
      <c r="G14">
        <v>5.8719820925139901E-2</v>
      </c>
      <c r="H14">
        <v>2E+20</v>
      </c>
      <c r="I14">
        <v>0</v>
      </c>
      <c r="J14">
        <v>0.220134063296751</v>
      </c>
      <c r="K14">
        <v>306</v>
      </c>
      <c r="L14" t="str">
        <f>DiscreteStatsTable[[#This Row],[ProjectName]]&amp;DiscreteStatsTable[[#This Row],[Name]]&amp;DiscreteStatsTable[[#This Row],[Type]]&amp;DiscreteStatsTable[[#This Row],[Source]]</f>
        <v>Unnamed ProjectVehículoTotal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5.8719820925139901E-2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5.8719820925139901E-2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5.8719820925139901E-2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0.220134063296751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306</v>
      </c>
      <c r="W14">
        <f>IF((DiscreteStatsTable[[#This Row],[RepsRequested]]&gt;1),DiscreteStatsTable[[#This Row],[HalfWidth]],DiscreteStatsTable[[#This Row],[BatchMeansHalfWidth]])</f>
        <v>2E+20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82</v>
      </c>
      <c r="E15" t="s">
        <v>87</v>
      </c>
      <c r="F15" t="s">
        <v>84</v>
      </c>
      <c r="G15">
        <v>0</v>
      </c>
      <c r="H15">
        <v>2E+20</v>
      </c>
      <c r="I15">
        <v>0</v>
      </c>
      <c r="J15">
        <v>0</v>
      </c>
      <c r="K15">
        <v>306</v>
      </c>
      <c r="L15" t="str">
        <f>DiscreteStatsTable[[#This Row],[ProjectName]]&amp;DiscreteStatsTable[[#This Row],[Name]]&amp;DiscreteStatsTable[[#This Row],[Type]]&amp;DiscreteStatsTable[[#This Row],[Source]]</f>
        <v>Unnamed ProjectVehículoTransfer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306</v>
      </c>
      <c r="W15">
        <f>IF((DiscreteStatsTable[[#This Row],[RepsRequested]]&gt;1),DiscreteStatsTable[[#This Row],[HalfWidth]],DiscreteStatsTable[[#This Row],[BatchMeansHalfWidth]])</f>
        <v>2E+20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</v>
      </c>
      <c r="D16" t="s">
        <v>82</v>
      </c>
      <c r="E16" t="s">
        <v>88</v>
      </c>
      <c r="F16" t="s">
        <v>84</v>
      </c>
      <c r="G16">
        <v>5.3111783448122597E-2</v>
      </c>
      <c r="H16">
        <v>2E+20</v>
      </c>
      <c r="I16">
        <v>0</v>
      </c>
      <c r="J16">
        <v>0.15305350327893999</v>
      </c>
      <c r="K16">
        <v>306</v>
      </c>
      <c r="L16" t="str">
        <f>DiscreteStatsTable[[#This Row],[ProjectName]]&amp;DiscreteStatsTable[[#This Row],[Name]]&amp;DiscreteStatsTable[[#This Row],[Type]]&amp;DiscreteStatsTable[[#This Row],[Source]]</f>
        <v>Unnamed ProjectVehículoVA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5.3111783448122597E-2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5.3111783448122597E-2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5.3111783448122597E-2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0.15305350327893999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306</v>
      </c>
      <c r="W16">
        <f>IF((DiscreteStatsTable[[#This Row],[RepsRequested]]&gt;1),DiscreteStatsTable[[#This Row],[HalfWidth]],DiscreteStatsTable[[#This Row],[BatchMeansHalfWidth]])</f>
        <v>2E+20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</v>
      </c>
      <c r="D17" t="s">
        <v>82</v>
      </c>
      <c r="E17" t="s">
        <v>89</v>
      </c>
      <c r="F17" t="s">
        <v>84</v>
      </c>
      <c r="G17">
        <v>5.60803747701729E-3</v>
      </c>
      <c r="H17">
        <v>2E+20</v>
      </c>
      <c r="I17">
        <v>0</v>
      </c>
      <c r="J17">
        <v>9.9393367632950799E-2</v>
      </c>
      <c r="K17">
        <v>306</v>
      </c>
      <c r="L17" t="str">
        <f>DiscreteStatsTable[[#This Row],[ProjectName]]&amp;DiscreteStatsTable[[#This Row],[Name]]&amp;DiscreteStatsTable[[#This Row],[Type]]&amp;DiscreteStatsTable[[#This Row],[Source]]</f>
        <v>Unnamed ProjectVehículoWait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5.60803747701729E-3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5.60803747701729E-3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5.60803747701729E-3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9.9393367632950799E-2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306</v>
      </c>
      <c r="W17">
        <f>IF((DiscreteStatsTable[[#This Row],[RepsRequested]]&gt;1),DiscreteStatsTable[[#This Row],[HalfWidth]],DiscreteStatsTable[[#This Row],[BatchMeansHalfWidth]])</f>
        <v>2E+20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</sheetData>
  <phoneticPr fontId="2" type="noConversion"/>
  <conditionalFormatting sqref="H2:H17 Q2:Q17">
    <cfRule type="expression" dxfId="20" priority="23">
      <formula>H2=200000000000000000000</formula>
    </cfRule>
  </conditionalFormatting>
  <conditionalFormatting sqref="H2:H17">
    <cfRule type="expression" dxfId="19" priority="21">
      <formula>H2=300000000000000000000</formula>
    </cfRule>
  </conditionalFormatting>
  <conditionalFormatting sqref="L2:Y17">
    <cfRule type="expression" dxfId="18" priority="19">
      <formula>MOD(ROW(),2)=0</formula>
    </cfRule>
  </conditionalFormatting>
  <conditionalFormatting sqref="Y2:Y17">
    <cfRule type="expression" dxfId="17" priority="14">
      <formula>Y2=0</formula>
    </cfRule>
    <cfRule type="expression" dxfId="16" priority="16">
      <formula>Y2=1</formula>
    </cfRule>
  </conditionalFormatting>
  <conditionalFormatting sqref="Y3:Y17">
    <cfRule type="expression" dxfId="15" priority="15">
      <formula>Y3=1</formula>
    </cfRule>
  </conditionalFormatting>
  <conditionalFormatting sqref="W2:W17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7 W2:W17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"/>
  <sheetViews>
    <sheetView workbookViewId="0">
      <selection activeCell="A2" sqref="A2:L1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21.7265625" bestFit="1" customWidth="1"/>
    <col min="6" max="6" width="8.7265625" bestFit="1" customWidth="1"/>
    <col min="7" max="7" width="11.81640625" bestFit="1" customWidth="1"/>
    <col min="8" max="8" width="22.08984375" bestFit="1" customWidth="1"/>
    <col min="9" max="9" width="11.1796875" bestFit="1" customWidth="1"/>
    <col min="10" max="10" width="11.54296875" bestFit="1" customWidth="1"/>
    <col min="11" max="11" width="19.1796875" bestFit="1" customWidth="1"/>
    <col min="12" max="12" width="11.1796875" bestFit="1" customWidth="1"/>
    <col min="13" max="13" width="52.54296875" bestFit="1" customWidth="1"/>
    <col min="14" max="14" width="16" bestFit="1" customWidth="1"/>
    <col min="15" max="15" width="18.6328125" bestFit="1" customWidth="1"/>
    <col min="16" max="16" width="16.6328125" bestFit="1" customWidth="1"/>
    <col min="17" max="17" width="19" bestFit="1" customWidth="1"/>
    <col min="18" max="18" width="11.6328125" bestFit="1" customWidth="1"/>
    <col min="19" max="19" width="17.90625" bestFit="1" customWidth="1"/>
    <col min="20" max="20" width="18.36328125" bestFit="1" customWidth="1"/>
    <col min="21" max="21" width="19.63281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90</v>
      </c>
      <c r="E2" t="s">
        <v>91</v>
      </c>
      <c r="F2" t="s">
        <v>92</v>
      </c>
      <c r="G2">
        <v>0.155342693858361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ProjectAgenteInstantaneous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0.155342693858361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0.155342693858361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0.155342693858361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66</v>
      </c>
      <c r="B3" t="s">
        <v>69</v>
      </c>
      <c r="C3">
        <v>1</v>
      </c>
      <c r="D3" t="s">
        <v>90</v>
      </c>
      <c r="E3" t="s">
        <v>93</v>
      </c>
      <c r="F3" t="s">
        <v>92</v>
      </c>
      <c r="G3">
        <v>0.46602808157508402</v>
      </c>
      <c r="H3">
        <v>3E+20</v>
      </c>
      <c r="I3">
        <v>0</v>
      </c>
      <c r="J3">
        <v>3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ProjectAgenteNumber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0.46602808157508402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0.46602808157508402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0.46602808157508402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66</v>
      </c>
      <c r="B4" t="s">
        <v>69</v>
      </c>
      <c r="C4">
        <v>1</v>
      </c>
      <c r="D4" t="s">
        <v>90</v>
      </c>
      <c r="E4" t="s">
        <v>94</v>
      </c>
      <c r="F4" t="s">
        <v>92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ProjectAgenteNumber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95</v>
      </c>
      <c r="F5" t="s">
        <v>72</v>
      </c>
      <c r="G5">
        <v>2.1279485259783799E-2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ProjectCaseta A.QueueNumber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2.1279485259783799E-2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2.1279485259783799E-2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2.1279485259783799E-2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73</v>
      </c>
      <c r="E6" t="s">
        <v>95</v>
      </c>
      <c r="F6" t="s">
        <v>72</v>
      </c>
      <c r="G6">
        <v>3.0712798863567598E-3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ProjectCaseta B.QueueNumber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3.0712798863567598E-3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3.0712798863567598E-3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3.0712798863567598E-3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74</v>
      </c>
      <c r="E7" t="s">
        <v>95</v>
      </c>
      <c r="F7" t="s">
        <v>72</v>
      </c>
      <c r="G7">
        <v>1.7624806851645601E-2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ProjectCaseta C.QueueNumber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1.7624806851645601E-2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1.7624806851645601E-2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1.7624806851645601E-2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75</v>
      </c>
      <c r="E8" t="s">
        <v>95</v>
      </c>
      <c r="F8" t="s">
        <v>72</v>
      </c>
      <c r="G8">
        <v>3.18000237095797E-3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ProjectCaseta D.QueueNumber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3.18000237095797E-3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3.18000237095797E-3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3.18000237095797E-3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5">
      <c r="A9" t="s">
        <v>66</v>
      </c>
      <c r="B9" t="s">
        <v>69</v>
      </c>
      <c r="C9">
        <v>1</v>
      </c>
      <c r="D9" t="s">
        <v>76</v>
      </c>
      <c r="E9" t="s">
        <v>95</v>
      </c>
      <c r="F9" t="s">
        <v>72</v>
      </c>
      <c r="G9">
        <v>2.3280169512639299E-2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ProjectCaseta E.QueueNumber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2.3280169512639299E-2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2.3280169512639299E-2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2.3280169512639299E-2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69</v>
      </c>
      <c r="C10">
        <v>1</v>
      </c>
      <c r="D10" t="s">
        <v>77</v>
      </c>
      <c r="E10" t="s">
        <v>95</v>
      </c>
      <c r="F10" t="s">
        <v>72</v>
      </c>
      <c r="G10">
        <v>4.3385529756664997E-3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ProjectCola Caseta A.QueueNumber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4.3385529756664997E-3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4.3385529756664997E-3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4.3385529756664997E-3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66</v>
      </c>
      <c r="B11" t="s">
        <v>69</v>
      </c>
      <c r="C11">
        <v>1</v>
      </c>
      <c r="D11" t="s">
        <v>78</v>
      </c>
      <c r="E11" t="s">
        <v>95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ProjectCola Caseta B.QueueNumber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79</v>
      </c>
      <c r="E12" t="s">
        <v>95</v>
      </c>
      <c r="F12" t="s">
        <v>72</v>
      </c>
      <c r="G12">
        <v>6.4060912818958496E-3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ProjectCola Caseta C.QueueNumber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6.4060912818958496E-3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6.4060912818958496E-3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6.4060912818958496E-3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80</v>
      </c>
      <c r="E13" t="s">
        <v>95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ProjectCola Caseta D.QueueNumber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81</v>
      </c>
      <c r="E14" t="s">
        <v>95</v>
      </c>
      <c r="F14" t="s">
        <v>72</v>
      </c>
      <c r="G14">
        <v>6.6225852594185702E-3</v>
      </c>
      <c r="H14">
        <v>2E+20</v>
      </c>
      <c r="I14">
        <v>0</v>
      </c>
      <c r="J14">
        <v>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ProjectCola Caseta E.QueueNumber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6.6225852594185702E-3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6.6225852594185702E-3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6.6225852594185702E-3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96</v>
      </c>
      <c r="E15" t="s">
        <v>91</v>
      </c>
      <c r="F15" t="s">
        <v>92</v>
      </c>
      <c r="G15">
        <v>0.17329110259059599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ProjectPCInstantaneous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0.17329110259059599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0.17329110259059599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0.17329110259059599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96</v>
      </c>
      <c r="E16" t="s">
        <v>93</v>
      </c>
      <c r="F16" t="s">
        <v>92</v>
      </c>
      <c r="G16">
        <v>0.34658220518119198</v>
      </c>
      <c r="H16">
        <v>2E+20</v>
      </c>
      <c r="I16">
        <v>0</v>
      </c>
      <c r="J16">
        <v>2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ProjectPCNumber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0.34658220518119198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0.34658220518119198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0.34658220518119198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94</v>
      </c>
      <c r="F17" t="s">
        <v>92</v>
      </c>
      <c r="G17">
        <v>2</v>
      </c>
      <c r="H17">
        <v>2E+20</v>
      </c>
      <c r="I17">
        <v>2</v>
      </c>
      <c r="J17">
        <v>2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ProjectPCNumber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2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82</v>
      </c>
      <c r="E18" t="s">
        <v>97</v>
      </c>
      <c r="F18" t="s">
        <v>84</v>
      </c>
      <c r="G18">
        <v>0.89841326015464096</v>
      </c>
      <c r="H18">
        <v>3E+20</v>
      </c>
      <c r="I18">
        <v>0</v>
      </c>
      <c r="J18">
        <v>10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ProjectVehículoWIPEntity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0.89841326015464096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0.89841326015464096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0.89841326015464096</v>
      </c>
      <c r="U18" s="5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18">
    <cfRule type="expression" dxfId="11" priority="9">
      <formula>H2=200000000000000000000</formula>
    </cfRule>
  </conditionalFormatting>
  <conditionalFormatting sqref="H2:H18">
    <cfRule type="expression" dxfId="10" priority="7">
      <formula>H2=300000000000000000000</formula>
    </cfRule>
  </conditionalFormatting>
  <conditionalFormatting sqref="M2:U18">
    <cfRule type="expression" dxfId="9" priority="5">
      <formula>MOD(ROW(),2)=0</formula>
    </cfRule>
  </conditionalFormatting>
  <conditionalFormatting sqref="U2:U1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8 U2:U1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7265625" bestFit="1" customWidth="1"/>
    <col min="8" max="8" width="13.36328125" bestFit="1" customWidth="1"/>
    <col min="9" max="9" width="16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24.26953125" bestFit="1" customWidth="1"/>
    <col min="5" max="5" width="18.26953125" bestFit="1" customWidth="1"/>
    <col min="6" max="6" width="8.7265625" bestFit="1" customWidth="1"/>
    <col min="7" max="7" width="15.7265625" bestFit="1" customWidth="1"/>
    <col min="8" max="8" width="11.1796875" bestFit="1" customWidth="1"/>
    <col min="9" max="9" width="64.36328125" bestFit="1" customWidth="1"/>
    <col min="10" max="10" width="16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92</v>
      </c>
      <c r="G2">
        <v>231</v>
      </c>
      <c r="H2">
        <v>0</v>
      </c>
      <c r="I2" t="str">
        <f>OutputTable[[#This Row],[ProjectName]]&amp;OutputTable[[#This Row],[Name]]&amp;OutputTable[[#This Row],[Type]]&amp;OutputTable[[#This Row],[Source]]</f>
        <v>Unnamed ProjectAgente.NumberSeizedTotal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231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231</v>
      </c>
      <c r="P2" cm="1">
        <f t="array" ref="P2">MAX(IF((OutputTable[GroupByKey]=OutputTable[[#This Row],[GroupByKey]]),(OutputTable[GroupByKey]=OutputTable[[#This Row],[GroupByKey]])*OutputTable[RecordedValue]))</f>
        <v>231</v>
      </c>
    </row>
    <row r="3" spans="1:16" x14ac:dyDescent="0.35">
      <c r="A3" t="s">
        <v>66</v>
      </c>
      <c r="B3" t="s">
        <v>69</v>
      </c>
      <c r="C3">
        <v>1</v>
      </c>
      <c r="D3" t="s">
        <v>100</v>
      </c>
      <c r="E3" t="s">
        <v>101</v>
      </c>
      <c r="F3" t="s">
        <v>92</v>
      </c>
      <c r="G3">
        <v>0.155342693858361</v>
      </c>
      <c r="H3">
        <v>0</v>
      </c>
      <c r="I3" t="str">
        <f>OutputTable[[#This Row],[ProjectName]]&amp;OutputTable[[#This Row],[Name]]&amp;OutputTable[[#This Row],[Type]]&amp;OutputTable[[#This Row],[Source]]</f>
        <v>Unnamed ProjectAgente.ScheduledUtilizationScheduled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0.155342693858361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0.155342693858361</v>
      </c>
      <c r="P3" cm="1">
        <f t="array" ref="P3">MAX(IF((OutputTable[GroupByKey]=OutputTable[[#This Row],[GroupByKey]]),(OutputTable[GroupByKey]=OutputTable[[#This Row],[GroupByKey]])*OutputTable[RecordedValue]))</f>
        <v>0.155342693858361</v>
      </c>
    </row>
    <row r="4" spans="1:16" x14ac:dyDescent="0.35">
      <c r="A4" t="s">
        <v>66</v>
      </c>
      <c r="B4" t="s">
        <v>69</v>
      </c>
      <c r="C4">
        <v>1</v>
      </c>
      <c r="D4" t="s">
        <v>102</v>
      </c>
      <c r="E4" t="s">
        <v>99</v>
      </c>
      <c r="F4" t="s">
        <v>92</v>
      </c>
      <c r="G4">
        <v>75</v>
      </c>
      <c r="H4">
        <v>0</v>
      </c>
      <c r="I4" t="str">
        <f>OutputTable[[#This Row],[ProjectName]]&amp;OutputTable[[#This Row],[Name]]&amp;OutputTable[[#This Row],[Type]]&amp;OutputTable[[#This Row],[Source]]</f>
        <v>Unnamed ProjectPC.NumberSeizedTotal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75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75</v>
      </c>
      <c r="P4" cm="1">
        <f t="array" ref="P4">MAX(IF((OutputTable[GroupByKey]=OutputTable[[#This Row],[GroupByKey]]),(OutputTable[GroupByKey]=OutputTable[[#This Row],[GroupByKey]])*OutputTable[RecordedValue]))</f>
        <v>75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101</v>
      </c>
      <c r="F5" t="s">
        <v>92</v>
      </c>
      <c r="G5">
        <v>0.17329110259059599</v>
      </c>
      <c r="H5">
        <v>0</v>
      </c>
      <c r="I5" t="str">
        <f>OutputTable[[#This Row],[ProjectName]]&amp;OutputTable[[#This Row],[Name]]&amp;OutputTable[[#This Row],[Type]]&amp;OutputTable[[#This Row],[Source]]</f>
        <v>Unnamed ProjectPC.ScheduledUtilizationScheduled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0.17329110259059599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0.17329110259059599</v>
      </c>
      <c r="P5" cm="1">
        <f t="array" ref="P5">MAX(IF((OutputTable[GroupByKey]=OutputTable[[#This Row],[GroupByKey]]),(OutputTable[GroupByKey]=OutputTable[[#This Row],[GroupByKey]])*OutputTable[RecordedValue]))</f>
        <v>0.17329110259059599</v>
      </c>
    </row>
    <row r="6" spans="1:16" x14ac:dyDescent="0.35">
      <c r="A6" t="s">
        <v>66</v>
      </c>
      <c r="B6" t="s">
        <v>69</v>
      </c>
      <c r="C6">
        <v>1</v>
      </c>
      <c r="D6" t="s">
        <v>104</v>
      </c>
      <c r="E6" t="s">
        <v>105</v>
      </c>
      <c r="F6" t="s">
        <v>106</v>
      </c>
      <c r="G6">
        <v>306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306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306</v>
      </c>
      <c r="P6" cm="1">
        <f t="array" ref="P6">MAX(IF((OutputTable[GroupByKey]=OutputTable[[#This Row],[GroupByKey]]),(OutputTable[GroupByKey]=OutputTable[[#This Row],[GroupByKey]])*OutputTable[RecordedValue]))</f>
        <v>306</v>
      </c>
    </row>
    <row r="7" spans="1:16" x14ac:dyDescent="0.35">
      <c r="A7" t="s">
        <v>66</v>
      </c>
      <c r="B7" t="s">
        <v>69</v>
      </c>
      <c r="C7">
        <v>1</v>
      </c>
      <c r="D7" t="s">
        <v>107</v>
      </c>
      <c r="E7" t="s">
        <v>108</v>
      </c>
      <c r="F7" t="s">
        <v>84</v>
      </c>
      <c r="G7">
        <v>671</v>
      </c>
      <c r="H7">
        <v>0</v>
      </c>
      <c r="I7" t="str">
        <f>OutputTable[[#This Row],[ProjectName]]&amp;OutputTable[[#This Row],[Name]]&amp;OutputTable[[#This Row],[Type]]&amp;OutputTable[[#This Row],[Source]]</f>
        <v>Unnamed ProjectVehículo.NumberInNumber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671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671</v>
      </c>
      <c r="P7" cm="1">
        <f t="array" ref="P7">MAX(IF((OutputTable[GroupByKey]=OutputTable[[#This Row],[GroupByKey]]),(OutputTable[GroupByKey]=OutputTable[[#This Row],[GroupByKey]])*OutputTable[RecordedValue]))</f>
        <v>671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105</v>
      </c>
      <c r="F8" t="s">
        <v>84</v>
      </c>
      <c r="G8">
        <v>671</v>
      </c>
      <c r="H8">
        <v>0</v>
      </c>
      <c r="I8" t="str">
        <f>OutputTable[[#This Row],[ProjectName]]&amp;OutputTable[[#This Row],[Name]]&amp;OutputTable[[#This Row],[Type]]&amp;OutputTable[[#This Row],[Source]]</f>
        <v>Unnamed ProjectVehículo.NumberOutNumber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671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671</v>
      </c>
      <c r="P8" cm="1">
        <f t="array" ref="P8">MAX(IF((OutputTable[GroupByKey]=OutputTable[[#This Row],[GroupByKey]]),(OutputTable[GroupByKey]=OutputTable[[#This Row],[GroupByKey]])*OutputTable[RecordedValue]))</f>
        <v>671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1796875" bestFit="1" customWidth="1"/>
    <col min="8" max="8" width="21" bestFit="1" customWidth="1"/>
    <col min="9" max="9" width="23.08984375" bestFit="1" customWidth="1"/>
    <col min="10" max="10" width="24.453125" bestFit="1" customWidth="1"/>
    <col min="11" max="11" width="15" bestFit="1" customWidth="1"/>
    <col min="12" max="12" width="13.36328125" bestFit="1" customWidth="1"/>
    <col min="13" max="13" width="28.1796875" bestFit="1" customWidth="1"/>
    <col min="14" max="14" width="29.08984375" bestFit="1" customWidth="1"/>
    <col min="15" max="15" width="16" bestFit="1" customWidth="1"/>
    <col min="16" max="16" width="27" bestFit="1" customWidth="1"/>
    <col min="17" max="17" width="27.81640625" bestFit="1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EDUARDO PALOU DE COMASEMA JAUME</cp:lastModifiedBy>
  <cp:lastPrinted>2022-03-22T10:33:10Z</cp:lastPrinted>
  <dcterms:created xsi:type="dcterms:W3CDTF">2020-06-29T21:30:31Z</dcterms:created>
  <dcterms:modified xsi:type="dcterms:W3CDTF">2024-12-22T14:44:26Z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