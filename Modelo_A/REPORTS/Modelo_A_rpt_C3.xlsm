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pa\Desktop\MYS_P2\Modelo_A\"/>
    </mc:Choice>
  </mc:AlternateContent>
  <xr:revisionPtr revIDLastSave="0" documentId="13_ncr:1_{1B220A61-FB6A-4171-B4BF-F3D9AC86C1EB}" xr6:coauthVersionLast="47" xr6:coauthVersionMax="47" xr10:uidLastSave="{00000000-0000-0000-0000-000000000000}"/>
  <bookViews>
    <workbookView xWindow="-110" yWindow="-110" windowWidth="23240" windowHeight="1321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</definedName>
    <definedName name="ExternalData_1" localSheetId="4" hidden="1">CounterStatsByRep!$A$1:$G$2</definedName>
    <definedName name="ExternalData_1" localSheetId="2" hidden="1">DiscreteTimeStatsByRep!$A$1:$K$13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N2" i="20"/>
  <c r="N3" i="20"/>
  <c r="N4" i="20"/>
  <c r="N5" i="20"/>
  <c r="N6" i="20"/>
  <c r="N7" i="20"/>
  <c r="N8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L2" i="17"/>
  <c r="L3" i="17"/>
  <c r="L4" i="17"/>
  <c r="L5" i="17"/>
  <c r="L6" i="17"/>
  <c r="L7" i="17"/>
  <c r="L8" i="17"/>
  <c r="L9" i="17"/>
  <c r="L10" i="17"/>
  <c r="L11" i="17"/>
  <c r="L12" i="17"/>
  <c r="L13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N12" i="17" a="1"/>
  <c r="N12" i="17"/>
  <c r="N13" i="17" a="1"/>
  <c r="N13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13" i="17" a="1"/>
  <c r="P13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S12" i="17" a="1"/>
  <c r="S12" i="17"/>
  <c r="S13" i="17" a="1"/>
  <c r="S13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W2" i="17"/>
  <c r="W3" i="17"/>
  <c r="W4" i="17"/>
  <c r="W5" i="17"/>
  <c r="W6" i="17"/>
  <c r="W7" i="17"/>
  <c r="W8" i="17"/>
  <c r="W9" i="17"/>
  <c r="W10" i="17"/>
  <c r="W11" i="17"/>
  <c r="W12" i="17"/>
  <c r="W13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Y2" i="17"/>
  <c r="Y3" i="17"/>
  <c r="Y4" i="17"/>
  <c r="Y5" i="17"/>
  <c r="Y6" i="17"/>
  <c r="Y7" i="17"/>
  <c r="Y8" i="17"/>
  <c r="Y9" i="17"/>
  <c r="Y10" i="17"/>
  <c r="Y11" i="17"/>
  <c r="Y12" i="17"/>
  <c r="Y13" i="17"/>
  <c r="G2" i="16"/>
  <c r="Q13" i="17" l="1"/>
  <c r="Q12" i="17"/>
  <c r="Q11" i="17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<sst xmlns="http://schemas.openxmlformats.org/spreadsheetml/2006/main" count="447" uniqueCount="111">
  <si>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</si>
  <si>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</si>
  <si>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</si>
  <si>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</si>
  <si>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</si>
  <si>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</si>
  <si>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</si>
  <si>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</si>
  <si>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</si>
  <si>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</si>
  <si>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</si>
  <si>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</si>
  <si>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</si>
  <si>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</si>
  <si>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</si>
  <si>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</si>
  <si>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</si>
  <si>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</si>
  <si>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</si>
  <si>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</si>
  <si>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</si>
  <si>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</si>
  <si>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</si>
  <si>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</si>
  <si>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</si>
  <si>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</si>
  <si>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</si>
  <si>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</si>
  <si>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</si>
  <si>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</si>
  <si>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</si>
  <si>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</si>
  <si>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</si>
  <si>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</si>
  <si>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</si>
  <si>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</si>
  <si>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</si>
  <si>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</si>
  <si>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</si>
  <si>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</si>
  <si>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</si>
  <si>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</si>
  <si>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</si>
  <si>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</si>
  <si>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</si>
  <si>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</si>
  <si>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</si>
  <si>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</si>
  <si>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</si>
  <si>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</si>
  <si>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</si>
  <si>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</si>
  <si>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</si>
  <si>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</si>
  <si>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</si>
  <si>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</si>
  <si>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</si>
  <si>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</si>
  <si>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</si>
  <si>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</si>
  <si>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</si>
  <si>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</si>
  <si>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</si>
  <si>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</si>
  <si>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</si>
  <si>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</si>
  <si>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</si>
  <si>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</si>
  <si>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C:\Users\Edupa\Desktop\MYS_P2\Modelo_A\Modelo_A.p</t>
  </si>
  <si>
    <t>2024-12-22 14:12:47</t>
  </si>
  <si>
    <t>Caseta A.Queue</t>
  </si>
  <si>
    <t>Waiting Time</t>
  </si>
  <si>
    <t>Queue</t>
  </si>
  <si>
    <t>Caseta D.Queue</t>
  </si>
  <si>
    <t>Caseta E.Queue</t>
  </si>
  <si>
    <t>Cola Caseta A.Queue</t>
  </si>
  <si>
    <t>Cola Caseta D.Queue</t>
  </si>
  <si>
    <t>Cola Caseta E.Queue</t>
  </si>
  <si>
    <t>Vehículo</t>
  </si>
  <si>
    <t>NVA Time</t>
  </si>
  <si>
    <t>Entity</t>
  </si>
  <si>
    <t>Other Time</t>
  </si>
  <si>
    <t>Total Time</t>
  </si>
  <si>
    <t>Transfer Time</t>
  </si>
  <si>
    <t>VA Time</t>
  </si>
  <si>
    <t>Wait Time</t>
  </si>
  <si>
    <t>Agente</t>
  </si>
  <si>
    <t>Instantaneous Utilization</t>
  </si>
  <si>
    <t>Resource</t>
  </si>
  <si>
    <t>Number Busy</t>
  </si>
  <si>
    <t>Number Scheduled</t>
  </si>
  <si>
    <t>Number Waiting</t>
  </si>
  <si>
    <t>Caseta B.Queue</t>
  </si>
  <si>
    <t>Caseta C.Queue</t>
  </si>
  <si>
    <t>Cola Caseta B.Queue</t>
  </si>
  <si>
    <t>Cola Caseta C.Queue</t>
  </si>
  <si>
    <t>PC</t>
  </si>
  <si>
    <t>WIP</t>
  </si>
  <si>
    <t>Agente.NumberSeized</t>
  </si>
  <si>
    <t>Total Number Seized</t>
  </si>
  <si>
    <t>Agente.ScheduledUtilization</t>
  </si>
  <si>
    <t>Scheduled Utilization</t>
  </si>
  <si>
    <t>PC.NumberSeized</t>
  </si>
  <si>
    <t>PC.ScheduledUtilization</t>
  </si>
  <si>
    <t>System.NumberOut</t>
  </si>
  <si>
    <t>Number Out</t>
  </si>
  <si>
    <t>System</t>
  </si>
  <si>
    <t>Vehículo.NumberIn</t>
  </si>
  <si>
    <t>Number In</t>
  </si>
  <si>
    <t>Vehículo.NumberOut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</si>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</sst>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230752314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2307754632" createdVersion="7" refreshedVersion="8" minRefreshableVersion="3" recordCount="1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gente"/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PC"/>
        <s v="Vehícul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minValue="3.2981373624592801E-3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6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"/>
    </cacheField>
    <cacheField name="SummaryHalfWidth" numFmtId="0">
      <sharedItems containsSemiMixedTypes="0" containsString="0" containsNumber="1" minValue="3.2981373624592801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230775463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2307870371" createdVersion="7" refreshedVersion="8" minRefreshableVersion="3" recordCount="12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6">
        <s v="Caseta A.Queue"/>
        <s v="Caseta D.Queue"/>
        <s v="Caseta E.Queue"/>
        <s v="Cola Caseta A.Queue"/>
        <s v="Cola Caseta D.Queue"/>
        <s v="Cola Caseta E.Queue"/>
        <s v="Vehículo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.3004214810256401E-2"/>
    </cacheField>
    <cacheField name="BatchMeansHalfWidth" numFmtId="0">
      <sharedItems containsSemiMixedTypes="0" containsString="0" containsNumber="1" minValue="0" maxValue="1.2950813504563001E-3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0.33422608253291503"/>
    </cacheField>
    <cacheField name="NumberObservations" numFmtId="0">
      <sharedItems containsSemiMixedTypes="0" containsString="0" containsNumber="1" containsInteger="1" minValue="667" maxValue="710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.3004214810256401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.3004214810256401E-2"/>
    </cacheField>
    <cacheField name="MaximumAverage" numFmtId="0">
      <sharedItems containsSemiMixedTypes="0" containsString="0" containsNumber="1" minValue="0" maxValue="3.3004214810256401E-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0.33422608253291503"/>
    </cacheField>
    <cacheField name="AverageNumberObservations" numFmtId="0">
      <sharedItems containsSemiMixedTypes="0" containsString="0" containsNumber="1" containsInteger="1" minValue="667" maxValue="7106"/>
    </cacheField>
    <cacheField name="SummaryHalfWidth" numFmtId="0">
      <sharedItems containsSemiMixedTypes="0" containsString="0" containsNumber="1" minValue="0" maxValue="1.2950813504563001E-3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2307870371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Agente.NumberSeized"/>
        <s v="Agente.ScheduledUtilization"/>
        <s v="PC.NumberSeized"/>
        <s v="PC.ScheduledUtilization"/>
        <s v="System.NumberOut"/>
        <s v="Vehículo.NumberIn"/>
        <s v="Vehículo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3.7781401057685703E-2" maxValue="1449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3.7781401057685703E-2" maxValue="14492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3.7781401057685703E-2" maxValue="14492"/>
    </cacheField>
    <cacheField name="Maximum" numFmtId="0">
      <sharedItems containsSemiMixedTypes="0" containsString="0" containsNumber="1" minValue="3.7781401057685703E-2" maxValue="144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4-12-22 14:12:47"/>
    <n v="1"/>
    <x v="0"/>
    <x v="0"/>
    <x v="0"/>
    <n v="3.77814010576858E-2"/>
    <n v="3.2981373624592801E-3"/>
    <n v="0"/>
    <n v="1"/>
    <n v="0"/>
    <n v="0"/>
    <s v="Unnamed ProjectAgenteInstantaneous UtilizationResource"/>
    <n v="1"/>
    <n v="3.77814010576858E-2"/>
    <n v="0"/>
    <n v="0.95"/>
    <n v="4E+20"/>
    <n v="3.77814010576858E-2"/>
    <n v="3.77814010576858E-2"/>
    <n v="3.2981373624592801E-3"/>
  </r>
  <r>
    <x v="0"/>
    <s v="2024-12-22 14:12:47"/>
    <n v="1"/>
    <x v="0"/>
    <x v="1"/>
    <x v="0"/>
    <n v="0.113344203173057"/>
    <n v="9.8944120873778307E-3"/>
    <n v="0"/>
    <n v="3"/>
    <n v="0"/>
    <n v="0"/>
    <s v="Unnamed ProjectAgenteNumber BusyResource"/>
    <n v="1"/>
    <n v="0.113344203173057"/>
    <n v="0"/>
    <n v="0.95"/>
    <n v="4E+20"/>
    <n v="0.113344203173057"/>
    <n v="0.113344203173057"/>
    <n v="9.8944120873778307E-3"/>
  </r>
  <r>
    <x v="0"/>
    <s v="2024-12-22 14:12:47"/>
    <n v="1"/>
    <x v="0"/>
    <x v="2"/>
    <x v="0"/>
    <n v="3"/>
    <n v="2E+20"/>
    <n v="3"/>
    <n v="3"/>
    <n v="3"/>
    <n v="0"/>
    <s v="Unnamed ProjectAgenteNumber ScheduledResource"/>
    <n v="1"/>
    <n v="3"/>
    <n v="0"/>
    <n v="0.95"/>
    <n v="4E+20"/>
    <n v="3"/>
    <n v="3"/>
    <n v="2E+20"/>
  </r>
  <r>
    <x v="0"/>
    <s v="2024-12-22 14:12:47"/>
    <n v="1"/>
    <x v="1"/>
    <x v="3"/>
    <x v="1"/>
    <n v="5.3311703158704195E-4"/>
    <n v="2E+20"/>
    <n v="0"/>
    <n v="1"/>
    <n v="0"/>
    <n v="0"/>
    <s v="Unnamed ProjectCaseta A.QueueNumber WaitingQueue"/>
    <n v="1"/>
    <n v="5.3311703158704195E-4"/>
    <n v="0"/>
    <n v="0.95"/>
    <n v="4E+20"/>
    <n v="5.3311703158704195E-4"/>
    <n v="5.3311703158704195E-4"/>
    <n v="2E+20"/>
  </r>
  <r>
    <x v="0"/>
    <s v="2024-12-22 14:12:47"/>
    <n v="1"/>
    <x v="2"/>
    <x v="3"/>
    <x v="1"/>
    <n v="0"/>
    <n v="2E+20"/>
    <n v="0"/>
    <n v="0"/>
    <n v="0"/>
    <n v="0"/>
    <s v="Unnamed ProjectCaseta B.QueueNumber WaitingQueue"/>
    <n v="1"/>
    <n v="0"/>
    <n v="0"/>
    <n v="0.95"/>
    <n v="4E+20"/>
    <n v="0"/>
    <n v="0"/>
    <n v="2E+20"/>
  </r>
  <r>
    <x v="0"/>
    <s v="2024-12-22 14:12:47"/>
    <n v="1"/>
    <x v="3"/>
    <x v="3"/>
    <x v="1"/>
    <n v="0"/>
    <n v="2E+20"/>
    <n v="0"/>
    <n v="0"/>
    <n v="0"/>
    <n v="0"/>
    <s v="Unnamed ProjectCaseta C.QueueNumber WaitingQueue"/>
    <n v="1"/>
    <n v="0"/>
    <n v="0"/>
    <n v="0.95"/>
    <n v="4E+20"/>
    <n v="0"/>
    <n v="0"/>
    <n v="2E+20"/>
  </r>
  <r>
    <x v="0"/>
    <s v="2024-12-22 14:12:47"/>
    <n v="1"/>
    <x v="4"/>
    <x v="3"/>
    <x v="1"/>
    <n v="3.54759315099787E-2"/>
    <n v="5.5177607730702198E-3"/>
    <n v="0"/>
    <n v="1"/>
    <n v="0"/>
    <n v="0"/>
    <s v="Unnamed ProjectCaseta D.QueueNumber WaitingQueue"/>
    <n v="1"/>
    <n v="3.54759315099787E-2"/>
    <n v="0"/>
    <n v="0.95"/>
    <n v="4E+20"/>
    <n v="3.54759315099787E-2"/>
    <n v="3.54759315099787E-2"/>
    <n v="5.5177607730702198E-3"/>
  </r>
  <r>
    <x v="0"/>
    <s v="2024-12-22 14:12:47"/>
    <n v="1"/>
    <x v="5"/>
    <x v="3"/>
    <x v="1"/>
    <n v="6.4802508559407704E-3"/>
    <n v="2E+20"/>
    <n v="0"/>
    <n v="1"/>
    <n v="0"/>
    <n v="0"/>
    <s v="Unnamed ProjectCaseta E.QueueNumber WaitingQueue"/>
    <n v="1"/>
    <n v="6.4802508559407704E-3"/>
    <n v="0"/>
    <n v="0.95"/>
    <n v="4E+20"/>
    <n v="6.4802508559407704E-3"/>
    <n v="6.4802508559407704E-3"/>
    <n v="2E+20"/>
  </r>
  <r>
    <x v="0"/>
    <s v="2024-12-22 14:12:47"/>
    <n v="1"/>
    <x v="6"/>
    <x v="3"/>
    <x v="1"/>
    <n v="8.7384547210926205E-5"/>
    <n v="2E+20"/>
    <n v="0"/>
    <n v="1"/>
    <n v="0"/>
    <n v="0"/>
    <s v="Unnamed ProjectCola Caseta A.QueueNumber WaitingQueue"/>
    <n v="1"/>
    <n v="8.7384547210926205E-5"/>
    <n v="0"/>
    <n v="0.95"/>
    <n v="4E+20"/>
    <n v="8.7384547210926205E-5"/>
    <n v="8.7384547210926205E-5"/>
    <n v="2E+20"/>
  </r>
  <r>
    <x v="0"/>
    <s v="2024-12-22 14:12:47"/>
    <n v="1"/>
    <x v="7"/>
    <x v="3"/>
    <x v="1"/>
    <n v="0"/>
    <n v="2E+20"/>
    <n v="0"/>
    <n v="0"/>
    <n v="0"/>
    <n v="0"/>
    <s v="Unnamed ProjectCola Caseta B.QueueNumber WaitingQueue"/>
    <n v="1"/>
    <n v="0"/>
    <n v="0"/>
    <n v="0.95"/>
    <n v="4E+20"/>
    <n v="0"/>
    <n v="0"/>
    <n v="2E+20"/>
  </r>
  <r>
    <x v="0"/>
    <s v="2024-12-22 14:12:47"/>
    <n v="1"/>
    <x v="8"/>
    <x v="3"/>
    <x v="1"/>
    <n v="0"/>
    <n v="2E+20"/>
    <n v="0"/>
    <n v="0"/>
    <n v="0"/>
    <n v="0"/>
    <s v="Unnamed ProjectCola Caseta C.QueueNumber WaitingQueue"/>
    <n v="1"/>
    <n v="0"/>
    <n v="0"/>
    <n v="0.95"/>
    <n v="4E+20"/>
    <n v="0"/>
    <n v="0"/>
    <n v="2E+20"/>
  </r>
  <r>
    <x v="0"/>
    <s v="2024-12-22 14:12:47"/>
    <n v="1"/>
    <x v="9"/>
    <x v="3"/>
    <x v="1"/>
    <n v="3.0507272886700899E-2"/>
    <n v="1.0687180484168401E-2"/>
    <n v="0"/>
    <n v="10"/>
    <n v="0"/>
    <n v="0"/>
    <s v="Unnamed ProjectCola Caseta D.QueueNumber WaitingQueue"/>
    <n v="1"/>
    <n v="3.0507272886700899E-2"/>
    <n v="0"/>
    <n v="0.95"/>
    <n v="4E+20"/>
    <n v="3.0507272886700899E-2"/>
    <n v="3.0507272886700899E-2"/>
    <n v="1.0687180484168401E-2"/>
  </r>
  <r>
    <x v="0"/>
    <s v="2024-12-22 14:12:47"/>
    <n v="1"/>
    <x v="10"/>
    <x v="3"/>
    <x v="1"/>
    <n v="8.7680346039245604E-4"/>
    <n v="2E+20"/>
    <n v="0"/>
    <n v="2"/>
    <n v="0"/>
    <n v="0"/>
    <s v="Unnamed ProjectCola Caseta E.QueueNumber WaitingQueue"/>
    <n v="1"/>
    <n v="8.7680346039245604E-4"/>
    <n v="0"/>
    <n v="0.95"/>
    <n v="4E+20"/>
    <n v="8.7680346039245604E-4"/>
    <n v="8.7680346039245604E-4"/>
    <n v="2E+20"/>
  </r>
  <r>
    <x v="0"/>
    <s v="2024-12-22 14:12:47"/>
    <n v="1"/>
    <x v="11"/>
    <x v="0"/>
    <x v="0"/>
    <n v="0.15064746664431899"/>
    <n v="3E+20"/>
    <n v="0"/>
    <n v="1"/>
    <n v="0"/>
    <n v="0"/>
    <s v="Unnamed ProjectPCInstantaneous UtilizationResource"/>
    <n v="1"/>
    <n v="0.15064746664431899"/>
    <n v="0"/>
    <n v="0.95"/>
    <n v="4E+20"/>
    <n v="0.15064746664431899"/>
    <n v="0.15064746664431899"/>
    <n v="3E+20"/>
  </r>
  <r>
    <x v="0"/>
    <s v="2024-12-22 14:12:47"/>
    <n v="1"/>
    <x v="11"/>
    <x v="1"/>
    <x v="0"/>
    <n v="0.30129493328863799"/>
    <n v="3E+20"/>
    <n v="0"/>
    <n v="2"/>
    <n v="0"/>
    <n v="0"/>
    <s v="Unnamed ProjectPCNumber BusyResource"/>
    <n v="1"/>
    <n v="0.30129493328863799"/>
    <n v="0"/>
    <n v="0.95"/>
    <n v="4E+20"/>
    <n v="0.30129493328863799"/>
    <n v="0.30129493328863799"/>
    <n v="3E+20"/>
  </r>
  <r>
    <x v="0"/>
    <s v="2024-12-22 14:12:47"/>
    <n v="1"/>
    <x v="11"/>
    <x v="2"/>
    <x v="0"/>
    <n v="2"/>
    <n v="2E+20"/>
    <n v="2"/>
    <n v="2"/>
    <n v="2"/>
    <n v="0"/>
    <s v="Unnamed ProjectPCNumber ScheduledResource"/>
    <n v="1"/>
    <n v="2"/>
    <n v="0"/>
    <n v="0.95"/>
    <n v="4E+20"/>
    <n v="2"/>
    <n v="2"/>
    <n v="2E+20"/>
  </r>
  <r>
    <x v="0"/>
    <s v="2024-12-22 14:12:47"/>
    <n v="1"/>
    <x v="12"/>
    <x v="4"/>
    <x v="2"/>
    <n v="0.48859989675350401"/>
    <n v="4.8195516484692898E-2"/>
    <n v="0"/>
    <n v="16"/>
    <n v="0"/>
    <n v="0"/>
    <s v="Unnamed ProjectVehículoWIPEntity"/>
    <n v="1"/>
    <n v="0.48859989675350401"/>
    <n v="0"/>
    <n v="0.95"/>
    <n v="4E+20"/>
    <n v="0.48859989675350401"/>
    <n v="0.48859989675350401"/>
    <n v="4.8195516484692898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s v="2024-12-22 14:12:47"/>
    <n v="1"/>
    <x v="0"/>
    <x v="0"/>
    <x v="0"/>
    <n v="1.6063790028988099E-4"/>
    <n v="9.8906722814787995E-5"/>
    <n v="0"/>
    <n v="3.43853174365591E-2"/>
    <n v="1593"/>
    <s v="Unnamed ProjectCaseta A.QueueWaiting TimeQueue"/>
    <n v="1"/>
    <n v="1.6063790028988099E-4"/>
    <n v="0"/>
    <n v="0.95"/>
    <n v="4E+20"/>
    <n v="1.6063790028988099E-4"/>
    <n v="1.6063790028988099E-4"/>
    <n v="0"/>
    <n v="3.43853174365591E-2"/>
    <n v="1593"/>
    <n v="9.8906722814787995E-5"/>
    <n v="1"/>
    <n v="1"/>
  </r>
  <r>
    <x v="0"/>
    <s v="2024-12-22 14:12:47"/>
    <n v="1"/>
    <x v="1"/>
    <x v="0"/>
    <x v="0"/>
    <n v="3.5139181025154401E-3"/>
    <n v="4.4365048698251201E-4"/>
    <n v="0"/>
    <n v="0.13974964711152901"/>
    <n v="4846"/>
    <s v="Unnamed ProjectCaseta D.QueueWaiting TimeQueue"/>
    <n v="1"/>
    <n v="3.5139181025154401E-3"/>
    <n v="0"/>
    <n v="0.95"/>
    <n v="4E+20"/>
    <n v="3.5139181025154401E-3"/>
    <n v="3.5139181025154401E-3"/>
    <n v="0"/>
    <n v="0.13974964711152901"/>
    <n v="4846"/>
    <n v="4.4365048698251201E-4"/>
    <n v="1"/>
    <n v="1"/>
  </r>
  <r>
    <x v="0"/>
    <s v="2024-12-22 14:12:47"/>
    <n v="1"/>
    <x v="2"/>
    <x v="0"/>
    <x v="0"/>
    <n v="4.6634488918314504E-3"/>
    <n v="1.2303688524788799E-3"/>
    <n v="0"/>
    <n v="0.113156598275943"/>
    <n v="667"/>
    <s v="Unnamed ProjectCaseta E.QueueWaiting TimeQueue"/>
    <n v="1"/>
    <n v="4.6634488918314504E-3"/>
    <n v="0"/>
    <n v="0.95"/>
    <n v="4E+20"/>
    <n v="4.6634488918314504E-3"/>
    <n v="4.6634488918314504E-3"/>
    <n v="0"/>
    <n v="0.113156598275943"/>
    <n v="667"/>
    <n v="1.2303688524788799E-3"/>
    <n v="1"/>
    <n v="1"/>
  </r>
  <r>
    <x v="0"/>
    <s v="2024-12-22 14:12:47"/>
    <n v="1"/>
    <x v="3"/>
    <x v="0"/>
    <x v="0"/>
    <n v="2.63305603648742E-5"/>
    <n v="3.9372704509931203E-5"/>
    <n v="0"/>
    <n v="2.9229808664695201E-2"/>
    <n v="1593"/>
    <s v="Unnamed ProjectCola Caseta A.QueueWaiting TimeQueue"/>
    <n v="1"/>
    <n v="2.63305603648742E-5"/>
    <n v="0"/>
    <n v="0.95"/>
    <n v="4E+20"/>
    <n v="2.63305603648742E-5"/>
    <n v="2.63305603648742E-5"/>
    <n v="0"/>
    <n v="2.9229808664695201E-2"/>
    <n v="1593"/>
    <n v="3.9372704509931203E-5"/>
    <n v="1"/>
    <n v="1"/>
  </r>
  <r>
    <x v="0"/>
    <s v="2024-12-22 14:12:47"/>
    <n v="1"/>
    <x v="4"/>
    <x v="0"/>
    <x v="0"/>
    <n v="3.0217686722278998E-3"/>
    <n v="1.13609932789893E-3"/>
    <n v="0"/>
    <n v="0.19767011479683599"/>
    <n v="4846"/>
    <s v="Unnamed ProjectCola Caseta D.QueueWaiting TimeQueue"/>
    <n v="1"/>
    <n v="3.0217686722278998E-3"/>
    <n v="0"/>
    <n v="0.95"/>
    <n v="4E+20"/>
    <n v="3.0217686722278998E-3"/>
    <n v="3.0217686722278998E-3"/>
    <n v="0"/>
    <n v="0.19767011479683599"/>
    <n v="4846"/>
    <n v="1.13609932789893E-3"/>
    <n v="1"/>
    <n v="1"/>
  </r>
  <r>
    <x v="0"/>
    <s v="2024-12-22 14:12:47"/>
    <n v="1"/>
    <x v="5"/>
    <x v="0"/>
    <x v="0"/>
    <n v="6.3098299998257698E-4"/>
    <n v="6.6198957976231398E-4"/>
    <n v="0"/>
    <n v="9.0804770493370796E-2"/>
    <n v="667"/>
    <s v="Unnamed ProjectCola Caseta E.QueueWaiting TimeQueue"/>
    <n v="1"/>
    <n v="6.3098299998257698E-4"/>
    <n v="0"/>
    <n v="0.95"/>
    <n v="4E+20"/>
    <n v="6.3098299998257698E-4"/>
    <n v="6.3098299998257698E-4"/>
    <n v="0"/>
    <n v="9.0804770493370796E-2"/>
    <n v="667"/>
    <n v="6.6198957976231398E-4"/>
    <n v="1"/>
    <n v="1"/>
  </r>
  <r>
    <x v="0"/>
    <s v="2024-12-22 14:12:47"/>
    <n v="1"/>
    <x v="6"/>
    <x v="1"/>
    <x v="1"/>
    <n v="0"/>
    <n v="0"/>
    <n v="0"/>
    <n v="0"/>
    <n v="7106"/>
    <s v="Unnamed ProjectVehículoNVA TimeEntity"/>
    <n v="1"/>
    <n v="0"/>
    <n v="0"/>
    <n v="0.95"/>
    <n v="4E+20"/>
    <n v="0"/>
    <n v="0"/>
    <n v="0"/>
    <n v="0"/>
    <n v="7106"/>
    <n v="0"/>
    <n v="1"/>
    <n v="1"/>
  </r>
  <r>
    <x v="0"/>
    <s v="2024-12-22 14:12:47"/>
    <n v="1"/>
    <x v="6"/>
    <x v="2"/>
    <x v="1"/>
    <n v="0"/>
    <n v="0"/>
    <n v="0"/>
    <n v="0"/>
    <n v="7106"/>
    <s v="Unnamed ProjectVehículoOther TimeEntity"/>
    <n v="1"/>
    <n v="0"/>
    <n v="0"/>
    <n v="0.95"/>
    <n v="4E+20"/>
    <n v="0"/>
    <n v="0"/>
    <n v="0"/>
    <n v="0"/>
    <n v="7106"/>
    <n v="0"/>
    <n v="1"/>
    <n v="1"/>
  </r>
  <r>
    <x v="0"/>
    <s v="2024-12-22 14:12:47"/>
    <n v="1"/>
    <x v="6"/>
    <x v="3"/>
    <x v="1"/>
    <n v="3.3004214810256401E-2"/>
    <n v="1.2950813504563001E-3"/>
    <n v="0"/>
    <n v="0.33422608253291503"/>
    <n v="7106"/>
    <s v="Unnamed ProjectVehículoTotal TimeEntity"/>
    <n v="1"/>
    <n v="3.3004214810256401E-2"/>
    <n v="0"/>
    <n v="0.95"/>
    <n v="4E+20"/>
    <n v="3.3004214810256401E-2"/>
    <n v="3.3004214810256401E-2"/>
    <n v="0"/>
    <n v="0.33422608253291503"/>
    <n v="7106"/>
    <n v="1.2950813504563001E-3"/>
    <n v="1"/>
    <n v="1"/>
  </r>
  <r>
    <x v="0"/>
    <s v="2024-12-22 14:12:47"/>
    <n v="1"/>
    <x v="6"/>
    <x v="4"/>
    <x v="1"/>
    <n v="0"/>
    <n v="0"/>
    <n v="0"/>
    <n v="0"/>
    <n v="7106"/>
    <s v="Unnamed ProjectVehículoTransfer TimeEntity"/>
    <n v="1"/>
    <n v="0"/>
    <n v="0"/>
    <n v="0.95"/>
    <n v="4E+20"/>
    <n v="0"/>
    <n v="0"/>
    <n v="0"/>
    <n v="0"/>
    <n v="7106"/>
    <n v="0"/>
    <n v="1"/>
    <n v="1"/>
  </r>
  <r>
    <x v="0"/>
    <s v="2024-12-22 14:12:47"/>
    <n v="1"/>
    <x v="6"/>
    <x v="5"/>
    <x v="1"/>
    <n v="2.8008272657136801E-2"/>
    <n v="5.6034814452468802E-4"/>
    <n v="0"/>
    <n v="0.16306408188452801"/>
    <n v="7106"/>
    <s v="Unnamed ProjectVehículoVA TimeEntity"/>
    <n v="1"/>
    <n v="2.8008272657136801E-2"/>
    <n v="0"/>
    <n v="0.95"/>
    <n v="4E+20"/>
    <n v="2.8008272657136801E-2"/>
    <n v="2.8008272657136801E-2"/>
    <n v="0"/>
    <n v="0.16306408188452801"/>
    <n v="7106"/>
    <n v="5.6034814452468802E-4"/>
    <n v="1"/>
    <n v="1"/>
  </r>
  <r>
    <x v="0"/>
    <s v="2024-12-22 14:12:47"/>
    <n v="1"/>
    <x v="6"/>
    <x v="6"/>
    <x v="1"/>
    <n v="4.9959421531197701E-3"/>
    <n v="1.08268201783404E-3"/>
    <n v="0"/>
    <n v="0.21343982908956799"/>
    <n v="7106"/>
    <s v="Unnamed ProjectVehículoWait TimeEntity"/>
    <n v="1"/>
    <n v="4.9959421531197701E-3"/>
    <n v="0"/>
    <n v="0.95"/>
    <n v="4E+20"/>
    <n v="4.9959421531197701E-3"/>
    <n v="4.9959421531197701E-3"/>
    <n v="0"/>
    <n v="0.21343982908956799"/>
    <n v="7106"/>
    <n v="1.08268201783404E-3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4-12-22 14:12:47"/>
    <n v="1"/>
    <x v="0"/>
    <x v="0"/>
    <x v="0"/>
    <n v="1593"/>
    <n v="0"/>
    <s v="Unnamed ProjectAgente.NumberSeizedTotal Number SeizedResource"/>
    <n v="1"/>
    <n v="1593"/>
    <n v="0"/>
    <n v="0.95"/>
    <n v="4E+20"/>
    <n v="1593"/>
    <n v="1593"/>
  </r>
  <r>
    <x v="0"/>
    <s v="2024-12-22 14:12:47"/>
    <n v="1"/>
    <x v="1"/>
    <x v="1"/>
    <x v="0"/>
    <n v="3.7781401057685703E-2"/>
    <n v="0"/>
    <s v="Unnamed ProjectAgente.ScheduledUtilizationScheduled UtilizationResource"/>
    <n v="1"/>
    <n v="3.7781401057685703E-2"/>
    <n v="0"/>
    <n v="0.95"/>
    <n v="4E+20"/>
    <n v="3.7781401057685703E-2"/>
    <n v="3.7781401057685703E-2"/>
  </r>
  <r>
    <x v="0"/>
    <s v="2024-12-22 14:12:47"/>
    <n v="1"/>
    <x v="2"/>
    <x v="0"/>
    <x v="0"/>
    <n v="5513"/>
    <n v="0"/>
    <s v="Unnamed ProjectPC.NumberSeizedTotal Number SeizedResource"/>
    <n v="1"/>
    <n v="5513"/>
    <n v="0"/>
    <n v="0.95"/>
    <n v="4E+20"/>
    <n v="5513"/>
    <n v="5513"/>
  </r>
  <r>
    <x v="0"/>
    <s v="2024-12-22 14:12:47"/>
    <n v="1"/>
    <x v="3"/>
    <x v="1"/>
    <x v="0"/>
    <n v="0.15064746664431899"/>
    <n v="0"/>
    <s v="Unnamed ProjectPC.ScheduledUtilizationScheduled UtilizationResource"/>
    <n v="1"/>
    <n v="0.15064746664431899"/>
    <n v="0"/>
    <n v="0.95"/>
    <n v="4E+20"/>
    <n v="0.15064746664431899"/>
    <n v="0.15064746664431899"/>
  </r>
  <r>
    <x v="0"/>
    <s v="2024-12-22 14:12:47"/>
    <n v="1"/>
    <x v="4"/>
    <x v="2"/>
    <x v="1"/>
    <n v="7106"/>
    <n v="0"/>
    <s v="Unnamed ProjectSystem.NumberOutNumber OutSystem"/>
    <n v="1"/>
    <n v="7106"/>
    <n v="0"/>
    <n v="0.95"/>
    <n v="4E+20"/>
    <n v="7106"/>
    <n v="7106"/>
  </r>
  <r>
    <x v="0"/>
    <s v="2024-12-22 14:12:47"/>
    <n v="1"/>
    <x v="5"/>
    <x v="3"/>
    <x v="2"/>
    <n v="14492"/>
    <n v="0"/>
    <s v="Unnamed ProjectVehículo.NumberInNumber InEntity"/>
    <n v="1"/>
    <n v="14492"/>
    <n v="0"/>
    <n v="0.95"/>
    <n v="4E+20"/>
    <n v="14492"/>
    <n v="14492"/>
  </r>
  <r>
    <x v="0"/>
    <s v="2024-12-22 14:12:47"/>
    <n v="1"/>
    <x v="6"/>
    <x v="2"/>
    <x v="2"/>
    <n v="14492"/>
    <n v="0"/>
    <s v="Unnamed ProjectVehículo.NumberOutNumber OutEntity"/>
    <n v="1"/>
    <n v="14492"/>
    <n v="0"/>
    <n v="0.95"/>
    <n v="4E+20"/>
    <n v="14492"/>
    <n v="144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7"/>
        <item m="1" x="40"/>
        <item m="1" x="12"/>
        <item m="1" x="92"/>
        <item m="1" x="75"/>
        <item m="1" x="45"/>
        <item m="1" x="101"/>
        <item m="1" x="33"/>
        <item m="1" x="37"/>
        <item m="1" x="104"/>
        <item m="1" x="70"/>
        <item m="1" x="82"/>
        <item m="1" x="87"/>
        <item m="1" x="11"/>
        <item m="1" x="39"/>
        <item m="1" x="29"/>
        <item m="1" x="105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2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3" tableType="queryTable" totalsRowShown="0">
  <autoFilter ref="A1:Y13" xr:uid="{C3D003CA-1AFF-426C-A03D-D3AF5760DF1A}"/>
  <sortState xmlns:xlrd2="http://schemas.microsoft.com/office/spreadsheetml/2017/richdata2" ref="A2:Y13">
    <sortCondition ref="D1:D13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" tableType="queryTable" totalsRowShown="0">
  <autoFilter ref="A1:U1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15.1796875" bestFit="1" customWidth="1"/>
    <col min="2" max="2" width="50.26953125" bestFit="1" customWidth="1"/>
    <col min="3" max="3" width="17.7265625" bestFit="1" customWidth="1"/>
    <col min="4" max="4" width="11.54296875" bestFit="1" customWidth="1"/>
    <col min="5" max="5" width="22.08984375" bestFit="1" customWidth="1"/>
    <col min="6" max="6" width="23.5429687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480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baseColWidth="10" defaultColWidth="8.7265625"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8.7265625" bestFit="1" customWidth="1"/>
    <col min="5" max="5" width="28" bestFit="1" customWidth="1"/>
    <col min="6" max="6" width="19.26953125" bestFit="1" customWidth="1"/>
    <col min="7" max="7" width="11.81640625" bestFit="1" customWidth="1"/>
    <col min="8" max="9" width="26.08984375" bestFit="1" customWidth="1"/>
    <col min="10" max="10" width="26.453125" bestFit="1" customWidth="1"/>
    <col min="11" max="11" width="15.6328125" bestFit="1" customWidth="1"/>
    <col min="12" max="12" width="16.08984375" bestFit="1" customWidth="1"/>
    <col min="13" max="13" width="28.63281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" bestFit="1" customWidth="1"/>
    <col min="20" max="20" width="11.81640625" bestFit="1" customWidth="1"/>
    <col min="21" max="21" width="26.08984375" bestFit="1" customWidth="1"/>
    <col min="22" max="22" width="21.1796875" bestFit="1" customWidth="1"/>
    <col min="23" max="23" width="21.54296875" bestFit="1" customWidth="1"/>
    <col min="24" max="24" width="15.63281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0.1796875" bestFit="1" customWidth="1"/>
    <col min="31" max="31" width="24.1796875" bestFit="1" customWidth="1"/>
    <col min="32" max="32" width="10" bestFit="1" customWidth="1"/>
    <col min="33" max="33" width="28.7265625" bestFit="1" customWidth="1"/>
    <col min="34" max="34" width="19.08984375" bestFit="1" customWidth="1"/>
    <col min="35" max="35" width="19.45312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1796875" bestFit="1" customWidth="1"/>
    <col min="42" max="42" width="10" bestFit="1" customWidth="1"/>
    <col min="43" max="43" width="28.7265625" bestFit="1" customWidth="1"/>
    <col min="44" max="44" width="19.08984375" bestFit="1" customWidth="1"/>
    <col min="45" max="45" width="19.45312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10.1796875" bestFit="1" customWidth="1"/>
    <col min="51" max="51" width="25.6328125" bestFit="1" customWidth="1"/>
    <col min="52" max="52" width="26.54296875" bestFit="1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1.6063790028988099E-4</v>
      </c>
      <c r="F3" s="5">
        <v>1</v>
      </c>
      <c r="G3" s="5">
        <v>9.8906722814787995E-5</v>
      </c>
      <c r="H3" s="5">
        <v>0</v>
      </c>
      <c r="I3" s="5">
        <v>1.6063790028988099E-4</v>
      </c>
      <c r="J3" s="5">
        <v>1.6063790028988099E-4</v>
      </c>
      <c r="K3" s="5">
        <v>0</v>
      </c>
      <c r="L3" s="5">
        <v>3.43853174365591E-2</v>
      </c>
      <c r="M3" s="5">
        <v>1593</v>
      </c>
      <c r="O3" t="s">
        <v>66</v>
      </c>
      <c r="P3" t="s">
        <v>86</v>
      </c>
      <c r="Q3" t="s">
        <v>87</v>
      </c>
      <c r="R3" t="s">
        <v>88</v>
      </c>
      <c r="S3" s="5">
        <v>3.77814010576858E-2</v>
      </c>
      <c r="T3" s="5">
        <v>3.2981373624592801E-3</v>
      </c>
      <c r="U3" s="5">
        <v>0</v>
      </c>
      <c r="V3" s="5">
        <v>3.77814010576858E-2</v>
      </c>
      <c r="W3" s="5">
        <v>3.77814010576858E-2</v>
      </c>
      <c r="X3" s="5">
        <v>0</v>
      </c>
      <c r="Y3" s="5">
        <v>1</v>
      </c>
      <c r="AA3" t="s">
        <v>110</v>
      </c>
      <c r="AB3" t="s">
        <v>110</v>
      </c>
      <c r="AC3" t="s">
        <v>110</v>
      </c>
      <c r="AD3" t="s">
        <v>110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105</v>
      </c>
      <c r="AN3" t="s">
        <v>106</v>
      </c>
      <c r="AO3" s="5">
        <v>7106</v>
      </c>
      <c r="AP3" s="5">
        <v>4E+20</v>
      </c>
      <c r="AQ3" s="5">
        <v>0</v>
      </c>
      <c r="AR3" s="5">
        <v>7106</v>
      </c>
      <c r="AS3" s="5">
        <v>7106</v>
      </c>
      <c r="AU3" t="s">
        <v>110</v>
      </c>
      <c r="AV3" t="s">
        <v>110</v>
      </c>
      <c r="AW3" t="s">
        <v>110</v>
      </c>
      <c r="AX3" t="s">
        <v>110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3.5139181025154401E-3</v>
      </c>
      <c r="F4" s="5">
        <v>1</v>
      </c>
      <c r="G4" s="5">
        <v>4.4365048698251201E-4</v>
      </c>
      <c r="H4" s="5">
        <v>0</v>
      </c>
      <c r="I4" s="5">
        <v>3.5139181025154401E-3</v>
      </c>
      <c r="J4" s="5">
        <v>3.5139181025154401E-3</v>
      </c>
      <c r="K4" s="5">
        <v>0</v>
      </c>
      <c r="L4" s="5">
        <v>0.13974964711152901</v>
      </c>
      <c r="M4" s="5">
        <v>4846</v>
      </c>
      <c r="Q4" t="s">
        <v>89</v>
      </c>
      <c r="R4" t="s">
        <v>88</v>
      </c>
      <c r="S4" s="5">
        <v>0.113344203173057</v>
      </c>
      <c r="T4" s="5">
        <v>9.8944120873778307E-3</v>
      </c>
      <c r="U4" s="5">
        <v>0</v>
      </c>
      <c r="V4" s="5">
        <v>0.113344203173057</v>
      </c>
      <c r="W4" s="5">
        <v>0.113344203173057</v>
      </c>
      <c r="X4" s="5">
        <v>0</v>
      </c>
      <c r="Y4" s="5">
        <v>3</v>
      </c>
      <c r="AL4" t="s">
        <v>98</v>
      </c>
      <c r="AM4" t="s">
        <v>99</v>
      </c>
      <c r="AN4" t="s">
        <v>88</v>
      </c>
      <c r="AO4" s="5">
        <v>1593</v>
      </c>
      <c r="AP4" s="5">
        <v>4E+20</v>
      </c>
      <c r="AQ4" s="5">
        <v>0</v>
      </c>
      <c r="AR4" s="5">
        <v>1593</v>
      </c>
      <c r="AS4" s="5">
        <v>1593</v>
      </c>
    </row>
    <row r="5" spans="1:52" x14ac:dyDescent="0.35">
      <c r="B5" t="s">
        <v>74</v>
      </c>
      <c r="C5" t="s">
        <v>71</v>
      </c>
      <c r="D5" t="s">
        <v>72</v>
      </c>
      <c r="E5" s="5">
        <v>4.6634488918314504E-3</v>
      </c>
      <c r="F5" s="5">
        <v>1</v>
      </c>
      <c r="G5" s="5">
        <v>1.2303688524788799E-3</v>
      </c>
      <c r="H5" s="5">
        <v>0</v>
      </c>
      <c r="I5" s="5">
        <v>4.6634488918314504E-3</v>
      </c>
      <c r="J5" s="5">
        <v>4.6634488918314504E-3</v>
      </c>
      <c r="K5" s="5">
        <v>0</v>
      </c>
      <c r="L5" s="5">
        <v>0.113156598275943</v>
      </c>
      <c r="M5" s="5">
        <v>667</v>
      </c>
      <c r="Q5" t="s">
        <v>90</v>
      </c>
      <c r="R5" t="s">
        <v>88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100</v>
      </c>
      <c r="AM5" t="s">
        <v>101</v>
      </c>
      <c r="AN5" t="s">
        <v>88</v>
      </c>
      <c r="AO5" s="5">
        <v>3.7781401057685703E-2</v>
      </c>
      <c r="AP5" s="5">
        <v>4E+20</v>
      </c>
      <c r="AQ5" s="5">
        <v>0</v>
      </c>
      <c r="AR5" s="5">
        <v>3.7781401057685703E-2</v>
      </c>
      <c r="AS5" s="5">
        <v>3.7781401057685703E-2</v>
      </c>
    </row>
    <row r="6" spans="1:52" x14ac:dyDescent="0.35">
      <c r="B6" t="s">
        <v>75</v>
      </c>
      <c r="C6" t="s">
        <v>71</v>
      </c>
      <c r="D6" t="s">
        <v>72</v>
      </c>
      <c r="E6" s="5">
        <v>2.63305603648742E-5</v>
      </c>
      <c r="F6" s="5">
        <v>1</v>
      </c>
      <c r="G6" s="5">
        <v>3.9372704509931203E-5</v>
      </c>
      <c r="H6" s="5">
        <v>0</v>
      </c>
      <c r="I6" s="5">
        <v>2.63305603648742E-5</v>
      </c>
      <c r="J6" s="5">
        <v>2.63305603648742E-5</v>
      </c>
      <c r="K6" s="5">
        <v>0</v>
      </c>
      <c r="L6" s="5">
        <v>2.9229808664695201E-2</v>
      </c>
      <c r="M6" s="5">
        <v>1593</v>
      </c>
      <c r="P6" t="s">
        <v>70</v>
      </c>
      <c r="Q6" t="s">
        <v>91</v>
      </c>
      <c r="R6" t="s">
        <v>72</v>
      </c>
      <c r="S6" s="5">
        <v>5.3311703158704195E-4</v>
      </c>
      <c r="T6" s="5">
        <v>2E+20</v>
      </c>
      <c r="U6" s="5">
        <v>0</v>
      </c>
      <c r="V6" s="5">
        <v>5.3311703158704195E-4</v>
      </c>
      <c r="W6" s="5">
        <v>5.3311703158704195E-4</v>
      </c>
      <c r="X6" s="5">
        <v>0</v>
      </c>
      <c r="Y6" s="5">
        <v>1</v>
      </c>
      <c r="AL6" t="s">
        <v>102</v>
      </c>
      <c r="AM6" t="s">
        <v>99</v>
      </c>
      <c r="AN6" t="s">
        <v>88</v>
      </c>
      <c r="AO6" s="5">
        <v>5513</v>
      </c>
      <c r="AP6" s="5">
        <v>4E+20</v>
      </c>
      <c r="AQ6" s="5">
        <v>0</v>
      </c>
      <c r="AR6" s="5">
        <v>5513</v>
      </c>
      <c r="AS6" s="5">
        <v>5513</v>
      </c>
    </row>
    <row r="7" spans="1:52" x14ac:dyDescent="0.35">
      <c r="B7" t="s">
        <v>76</v>
      </c>
      <c r="C7" t="s">
        <v>71</v>
      </c>
      <c r="D7" t="s">
        <v>72</v>
      </c>
      <c r="E7" s="5">
        <v>3.0217686722278998E-3</v>
      </c>
      <c r="F7" s="5">
        <v>1</v>
      </c>
      <c r="G7" s="5">
        <v>1.13609932789893E-3</v>
      </c>
      <c r="H7" s="5">
        <v>0</v>
      </c>
      <c r="I7" s="5">
        <v>3.0217686722278998E-3</v>
      </c>
      <c r="J7" s="5">
        <v>3.0217686722278998E-3</v>
      </c>
      <c r="K7" s="5">
        <v>0</v>
      </c>
      <c r="L7" s="5">
        <v>0.19767011479683599</v>
      </c>
      <c r="M7" s="5">
        <v>4846</v>
      </c>
      <c r="P7" t="s">
        <v>92</v>
      </c>
      <c r="Q7" t="s">
        <v>91</v>
      </c>
      <c r="R7" t="s">
        <v>72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103</v>
      </c>
      <c r="AM7" t="s">
        <v>101</v>
      </c>
      <c r="AN7" t="s">
        <v>88</v>
      </c>
      <c r="AO7" s="5">
        <v>0.15064746664431899</v>
      </c>
      <c r="AP7" s="5">
        <v>4E+20</v>
      </c>
      <c r="AQ7" s="5">
        <v>0</v>
      </c>
      <c r="AR7" s="5">
        <v>0.15064746664431899</v>
      </c>
      <c r="AS7" s="5">
        <v>0.15064746664431899</v>
      </c>
    </row>
    <row r="8" spans="1:52" x14ac:dyDescent="0.35">
      <c r="B8" t="s">
        <v>77</v>
      </c>
      <c r="C8" t="s">
        <v>71</v>
      </c>
      <c r="D8" t="s">
        <v>72</v>
      </c>
      <c r="E8" s="5">
        <v>6.3098299998257698E-4</v>
      </c>
      <c r="F8" s="5">
        <v>1</v>
      </c>
      <c r="G8" s="5">
        <v>6.6198957976231398E-4</v>
      </c>
      <c r="H8" s="5">
        <v>0</v>
      </c>
      <c r="I8" s="5">
        <v>6.3098299998257698E-4</v>
      </c>
      <c r="J8" s="5">
        <v>6.3098299998257698E-4</v>
      </c>
      <c r="K8" s="5">
        <v>0</v>
      </c>
      <c r="L8" s="5">
        <v>9.0804770493370796E-2</v>
      </c>
      <c r="M8" s="5">
        <v>667</v>
      </c>
      <c r="P8" t="s">
        <v>93</v>
      </c>
      <c r="Q8" t="s">
        <v>91</v>
      </c>
      <c r="R8" t="s">
        <v>72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L8" t="s">
        <v>107</v>
      </c>
      <c r="AM8" t="s">
        <v>108</v>
      </c>
      <c r="AN8" t="s">
        <v>80</v>
      </c>
      <c r="AO8" s="5">
        <v>14492</v>
      </c>
      <c r="AP8" s="5">
        <v>4E+20</v>
      </c>
      <c r="AQ8" s="5">
        <v>0</v>
      </c>
      <c r="AR8" s="5">
        <v>14492</v>
      </c>
      <c r="AS8" s="5">
        <v>14492</v>
      </c>
    </row>
    <row r="9" spans="1:52" x14ac:dyDescent="0.35">
      <c r="B9" t="s">
        <v>78</v>
      </c>
      <c r="C9" t="s">
        <v>79</v>
      </c>
      <c r="D9" t="s">
        <v>80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7106</v>
      </c>
      <c r="P9" t="s">
        <v>73</v>
      </c>
      <c r="Q9" t="s">
        <v>91</v>
      </c>
      <c r="R9" t="s">
        <v>72</v>
      </c>
      <c r="S9" s="5">
        <v>3.54759315099787E-2</v>
      </c>
      <c r="T9" s="5">
        <v>5.5177607730702198E-3</v>
      </c>
      <c r="U9" s="5">
        <v>0</v>
      </c>
      <c r="V9" s="5">
        <v>3.54759315099787E-2</v>
      </c>
      <c r="W9" s="5">
        <v>3.54759315099787E-2</v>
      </c>
      <c r="X9" s="5">
        <v>0</v>
      </c>
      <c r="Y9" s="5">
        <v>1</v>
      </c>
      <c r="AL9" t="s">
        <v>109</v>
      </c>
      <c r="AM9" t="s">
        <v>105</v>
      </c>
      <c r="AN9" t="s">
        <v>80</v>
      </c>
      <c r="AO9" s="5">
        <v>14492</v>
      </c>
      <c r="AP9" s="5">
        <v>4E+20</v>
      </c>
      <c r="AQ9" s="5">
        <v>0</v>
      </c>
      <c r="AR9" s="5">
        <v>14492</v>
      </c>
      <c r="AS9" s="5">
        <v>14492</v>
      </c>
    </row>
    <row r="10" spans="1:52" x14ac:dyDescent="0.35">
      <c r="C10" t="s">
        <v>81</v>
      </c>
      <c r="D10" t="s">
        <v>80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7106</v>
      </c>
      <c r="P10" t="s">
        <v>74</v>
      </c>
      <c r="Q10" t="s">
        <v>91</v>
      </c>
      <c r="R10" t="s">
        <v>72</v>
      </c>
      <c r="S10" s="5">
        <v>6.4802508559407704E-3</v>
      </c>
      <c r="T10" s="5">
        <v>2E+20</v>
      </c>
      <c r="U10" s="5">
        <v>0</v>
      </c>
      <c r="V10" s="5">
        <v>6.4802508559407704E-3</v>
      </c>
      <c r="W10" s="5">
        <v>6.4802508559407704E-3</v>
      </c>
      <c r="X10" s="5">
        <v>0</v>
      </c>
      <c r="Y10" s="5">
        <v>1</v>
      </c>
    </row>
    <row r="11" spans="1:52" x14ac:dyDescent="0.35">
      <c r="C11" t="s">
        <v>82</v>
      </c>
      <c r="D11" t="s">
        <v>80</v>
      </c>
      <c r="E11" s="5">
        <v>3.3004214810256401E-2</v>
      </c>
      <c r="F11" s="5">
        <v>1</v>
      </c>
      <c r="G11" s="5">
        <v>1.2950813504563001E-3</v>
      </c>
      <c r="H11" s="5">
        <v>0</v>
      </c>
      <c r="I11" s="5">
        <v>3.3004214810256401E-2</v>
      </c>
      <c r="J11" s="5">
        <v>3.3004214810256401E-2</v>
      </c>
      <c r="K11" s="5">
        <v>0</v>
      </c>
      <c r="L11" s="5">
        <v>0.33422608253291503</v>
      </c>
      <c r="M11" s="5">
        <v>7106</v>
      </c>
      <c r="P11" t="s">
        <v>75</v>
      </c>
      <c r="Q11" t="s">
        <v>91</v>
      </c>
      <c r="R11" t="s">
        <v>72</v>
      </c>
      <c r="S11" s="5">
        <v>8.7384547210926205E-5</v>
      </c>
      <c r="T11" s="5">
        <v>2E+20</v>
      </c>
      <c r="U11" s="5">
        <v>0</v>
      </c>
      <c r="V11" s="5">
        <v>8.7384547210926205E-5</v>
      </c>
      <c r="W11" s="5">
        <v>8.7384547210926205E-5</v>
      </c>
      <c r="X11" s="5">
        <v>0</v>
      </c>
      <c r="Y11" s="5">
        <v>1</v>
      </c>
    </row>
    <row r="12" spans="1:52" x14ac:dyDescent="0.35">
      <c r="C12" t="s">
        <v>83</v>
      </c>
      <c r="D12" t="s">
        <v>80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7106</v>
      </c>
      <c r="P12" t="s">
        <v>94</v>
      </c>
      <c r="Q12" t="s">
        <v>91</v>
      </c>
      <c r="R12" t="s">
        <v>72</v>
      </c>
      <c r="S12" s="5">
        <v>0</v>
      </c>
      <c r="T12" s="5">
        <v>2E+20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</row>
    <row r="13" spans="1:52" x14ac:dyDescent="0.35">
      <c r="C13" t="s">
        <v>84</v>
      </c>
      <c r="D13" t="s">
        <v>80</v>
      </c>
      <c r="E13" s="5">
        <v>2.8008272657136801E-2</v>
      </c>
      <c r="F13" s="5">
        <v>1</v>
      </c>
      <c r="G13" s="5">
        <v>5.6034814452468802E-4</v>
      </c>
      <c r="H13" s="5">
        <v>0</v>
      </c>
      <c r="I13" s="5">
        <v>2.8008272657136801E-2</v>
      </c>
      <c r="J13" s="5">
        <v>2.8008272657136801E-2</v>
      </c>
      <c r="K13" s="5">
        <v>0</v>
      </c>
      <c r="L13" s="5">
        <v>0.16306408188452801</v>
      </c>
      <c r="M13" s="5">
        <v>7106</v>
      </c>
      <c r="P13" t="s">
        <v>95</v>
      </c>
      <c r="Q13" t="s">
        <v>91</v>
      </c>
      <c r="R13" t="s">
        <v>72</v>
      </c>
      <c r="S13" s="5">
        <v>0</v>
      </c>
      <c r="T13" s="5">
        <v>2E+20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</row>
    <row r="14" spans="1:52" x14ac:dyDescent="0.35">
      <c r="C14" t="s">
        <v>85</v>
      </c>
      <c r="D14" t="s">
        <v>80</v>
      </c>
      <c r="E14" s="5">
        <v>4.9959421531197701E-3</v>
      </c>
      <c r="F14" s="5">
        <v>1</v>
      </c>
      <c r="G14" s="5">
        <v>1.08268201783404E-3</v>
      </c>
      <c r="H14" s="5">
        <v>0</v>
      </c>
      <c r="I14" s="5">
        <v>4.9959421531197701E-3</v>
      </c>
      <c r="J14" s="5">
        <v>4.9959421531197701E-3</v>
      </c>
      <c r="K14" s="5">
        <v>0</v>
      </c>
      <c r="L14" s="5">
        <v>0.21343982908956799</v>
      </c>
      <c r="M14" s="5">
        <v>7106</v>
      </c>
      <c r="P14" t="s">
        <v>76</v>
      </c>
      <c r="Q14" t="s">
        <v>91</v>
      </c>
      <c r="R14" t="s">
        <v>72</v>
      </c>
      <c r="S14" s="5">
        <v>3.0507272886700899E-2</v>
      </c>
      <c r="T14" s="5">
        <v>1.0687180484168401E-2</v>
      </c>
      <c r="U14" s="5">
        <v>0</v>
      </c>
      <c r="V14" s="5">
        <v>3.0507272886700899E-2</v>
      </c>
      <c r="W14" s="5">
        <v>3.0507272886700899E-2</v>
      </c>
      <c r="X14" s="5">
        <v>0</v>
      </c>
      <c r="Y14" s="5">
        <v>10</v>
      </c>
    </row>
    <row r="15" spans="1:52" x14ac:dyDescent="0.35">
      <c r="P15" t="s">
        <v>77</v>
      </c>
      <c r="Q15" t="s">
        <v>91</v>
      </c>
      <c r="R15" t="s">
        <v>72</v>
      </c>
      <c r="S15" s="5">
        <v>8.7680346039245604E-4</v>
      </c>
      <c r="T15" s="5">
        <v>2E+20</v>
      </c>
      <c r="U15" s="5">
        <v>0</v>
      </c>
      <c r="V15" s="5">
        <v>8.7680346039245604E-4</v>
      </c>
      <c r="W15" s="5">
        <v>8.7680346039245604E-4</v>
      </c>
      <c r="X15" s="5">
        <v>0</v>
      </c>
      <c r="Y15" s="5">
        <v>2</v>
      </c>
    </row>
    <row r="16" spans="1:52" x14ac:dyDescent="0.35">
      <c r="P16" t="s">
        <v>96</v>
      </c>
      <c r="Q16" t="s">
        <v>87</v>
      </c>
      <c r="R16" t="s">
        <v>88</v>
      </c>
      <c r="S16" s="5">
        <v>0.15064746664431899</v>
      </c>
      <c r="T16" s="5">
        <v>3E+20</v>
      </c>
      <c r="U16" s="5">
        <v>0</v>
      </c>
      <c r="V16" s="5">
        <v>0.15064746664431899</v>
      </c>
      <c r="W16" s="5">
        <v>0.15064746664431899</v>
      </c>
      <c r="X16" s="5">
        <v>0</v>
      </c>
      <c r="Y16" s="5">
        <v>1</v>
      </c>
    </row>
    <row r="17" spans="16:25" x14ac:dyDescent="0.35">
      <c r="Q17" t="s">
        <v>89</v>
      </c>
      <c r="R17" t="s">
        <v>88</v>
      </c>
      <c r="S17" s="5">
        <v>0.30129493328863799</v>
      </c>
      <c r="T17" s="5">
        <v>3E+20</v>
      </c>
      <c r="U17" s="5">
        <v>0</v>
      </c>
      <c r="V17" s="5">
        <v>0.30129493328863799</v>
      </c>
      <c r="W17" s="5">
        <v>0.30129493328863799</v>
      </c>
      <c r="X17" s="5">
        <v>0</v>
      </c>
      <c r="Y17" s="5">
        <v>2</v>
      </c>
    </row>
    <row r="18" spans="16:25" x14ac:dyDescent="0.35">
      <c r="Q18" t="s">
        <v>90</v>
      </c>
      <c r="R18" t="s">
        <v>88</v>
      </c>
      <c r="S18" s="5">
        <v>2</v>
      </c>
      <c r="T18" s="5">
        <v>2E+20</v>
      </c>
      <c r="U18" s="5">
        <v>0</v>
      </c>
      <c r="V18" s="5">
        <v>2</v>
      </c>
      <c r="W18" s="5">
        <v>2</v>
      </c>
      <c r="X18" s="5">
        <v>2</v>
      </c>
      <c r="Y18" s="5">
        <v>2</v>
      </c>
    </row>
    <row r="19" spans="16:25" x14ac:dyDescent="0.35">
      <c r="P19" t="s">
        <v>78</v>
      </c>
      <c r="Q19" t="s">
        <v>97</v>
      </c>
      <c r="R19" t="s">
        <v>80</v>
      </c>
      <c r="S19" s="5">
        <v>0.48859989675350401</v>
      </c>
      <c r="T19" s="5">
        <v>4.8195516484692898E-2</v>
      </c>
      <c r="U19" s="5">
        <v>0</v>
      </c>
      <c r="V19" s="5">
        <v>0.48859989675350401</v>
      </c>
      <c r="W19" s="5">
        <v>0.48859989675350401</v>
      </c>
      <c r="X19" s="5">
        <v>0</v>
      </c>
      <c r="Y19" s="5">
        <v>16</v>
      </c>
    </row>
  </sheetData>
  <dataConsolidate/>
  <conditionalFormatting pivot="1" sqref="G3:G14">
    <cfRule type="expression" dxfId="31" priority="14">
      <formula>G3=200000000000000000000</formula>
    </cfRule>
  </conditionalFormatting>
  <conditionalFormatting pivot="1" sqref="T3:T19">
    <cfRule type="expression" dxfId="30" priority="13">
      <formula>T3=200000000000000000000</formula>
    </cfRule>
  </conditionalFormatting>
  <conditionalFormatting pivot="1" sqref="T3:T19">
    <cfRule type="expression" dxfId="29" priority="12">
      <formula>T3=300000000000000000000</formula>
    </cfRule>
  </conditionalFormatting>
  <conditionalFormatting pivot="1" sqref="G3:G14">
    <cfRule type="expression" dxfId="28" priority="11">
      <formula>G3=300000000000000000000</formula>
    </cfRule>
  </conditionalFormatting>
  <conditionalFormatting pivot="1" sqref="F3:F14">
    <cfRule type="expression" dxfId="27" priority="10">
      <formula>F3=0</formula>
    </cfRule>
  </conditionalFormatting>
  <conditionalFormatting pivot="1" sqref="F3:F14">
    <cfRule type="expression" dxfId="26" priority="9">
      <formula>F3=1</formula>
    </cfRule>
  </conditionalFormatting>
  <conditionalFormatting pivot="1" sqref="T3:T19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4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3"/>
  <sheetViews>
    <sheetView workbookViewId="0">
      <selection activeCell="A2" sqref="A2:K6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81640625" bestFit="1" customWidth="1"/>
    <col min="11" max="11" width="21.08984375" bestFit="1" customWidth="1"/>
    <col min="12" max="12" width="49.7265625" bestFit="1" customWidth="1"/>
    <col min="13" max="13" width="16" bestFit="1" customWidth="1"/>
    <col min="14" max="14" width="18.6328125" bestFit="1" customWidth="1"/>
    <col min="15" max="15" width="16.6328125" bestFit="1" customWidth="1"/>
    <col min="16" max="16" width="19" bestFit="1" customWidth="1"/>
    <col min="17" max="17" width="11.6328125" bestFit="1" customWidth="1"/>
    <col min="18" max="18" width="17.90625" bestFit="1" customWidth="1"/>
    <col min="19" max="19" width="18.36328125" bestFit="1" customWidth="1"/>
    <col min="20" max="20" width="17.08984375" bestFit="1" customWidth="1"/>
    <col min="21" max="21" width="17.453125" bestFit="1" customWidth="1"/>
    <col min="22" max="22" width="27.90625" bestFit="1" customWidth="1"/>
    <col min="23" max="23" width="19.6328125" bestFit="1" customWidth="1"/>
    <col min="24" max="24" width="22.6328125" bestFit="1" customWidth="1"/>
    <col min="25" max="25" width="21.089843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1.6063790028988099E-4</v>
      </c>
      <c r="H2">
        <v>9.8906722814787995E-5</v>
      </c>
      <c r="I2">
        <v>0</v>
      </c>
      <c r="J2">
        <v>3.43853174365591E-2</v>
      </c>
      <c r="K2">
        <v>1593</v>
      </c>
      <c r="L2" t="str">
        <f>DiscreteStatsTable[[#This Row],[ProjectName]]&amp;DiscreteStatsTable[[#This Row],[Name]]&amp;DiscreteStatsTable[[#This Row],[Type]]&amp;DiscreteStatsTable[[#This Row],[Source]]</f>
        <v>Unnamed ProjectCaseta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1.6063790028988099E-4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1.6063790028988099E-4</v>
      </c>
      <c r="S2" cm="1">
        <f t="array" ref="S2">MAX(IF((DiscreteStatsTable[GroupByKey]=DiscreteStatsTable[[#This Row],[GroupByKey]]),(DiscreteStatsTable[GroupByKey]=DiscreteStatsTable[[#This Row],[GroupByKey]])*DiscreteStatsTable[Average]))</f>
        <v>1.6063790028988099E-4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3.43853174365591E-2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1593</v>
      </c>
      <c r="W2">
        <f>IF((DiscreteStatsTable[[#This Row],[RepsRequested]]&gt;1),DiscreteStatsTable[[#This Row],[HalfWidth]],DiscreteStatsTable[[#This Row],[BatchMeansHalfWidth]])</f>
        <v>9.8906722814787995E-5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3.5139181025154401E-3</v>
      </c>
      <c r="H3">
        <v>4.4365048698251201E-4</v>
      </c>
      <c r="I3">
        <v>0</v>
      </c>
      <c r="J3">
        <v>0.13974964711152901</v>
      </c>
      <c r="K3">
        <v>4846</v>
      </c>
      <c r="L3" t="str">
        <f>DiscreteStatsTable[[#This Row],[ProjectName]]&amp;DiscreteStatsTable[[#This Row],[Name]]&amp;DiscreteStatsTable[[#This Row],[Type]]&amp;DiscreteStatsTable[[#This Row],[Source]]</f>
        <v>Unnamed ProjectCaseta D.QueueWaiting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3.5139181025154401E-3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3.5139181025154401E-3</v>
      </c>
      <c r="S3" cm="1">
        <f t="array" ref="S3">MAX(IF((DiscreteStatsTable[GroupByKey]=DiscreteStatsTable[[#This Row],[GroupByKey]]),(DiscreteStatsTable[GroupByKey]=DiscreteStatsTable[[#This Row],[GroupByKey]])*DiscreteStatsTable[Average]))</f>
        <v>3.5139181025154401E-3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0.13974964711152901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4846</v>
      </c>
      <c r="W3">
        <f>IF((DiscreteStatsTable[[#This Row],[RepsRequested]]&gt;1),DiscreteStatsTable[[#This Row],[HalfWidth]],DiscreteStatsTable[[#This Row],[BatchMeansHalfWidth]])</f>
        <v>4.4365048698251201E-4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4.6634488918314504E-3</v>
      </c>
      <c r="H4">
        <v>1.2303688524788799E-3</v>
      </c>
      <c r="I4">
        <v>0</v>
      </c>
      <c r="J4">
        <v>0.113156598275943</v>
      </c>
      <c r="K4">
        <v>667</v>
      </c>
      <c r="L4" t="str">
        <f>DiscreteStatsTable[[#This Row],[ProjectName]]&amp;DiscreteStatsTable[[#This Row],[Name]]&amp;DiscreteStatsTable[[#This Row],[Type]]&amp;DiscreteStatsTable[[#This Row],[Source]]</f>
        <v>Unnamed ProjectCaseta E.QueueWaiting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4.6634488918314504E-3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4.6634488918314504E-3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4.6634488918314504E-3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0.113156598275943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667</v>
      </c>
      <c r="W4">
        <f>IF((DiscreteStatsTable[[#This Row],[RepsRequested]]&gt;1),DiscreteStatsTable[[#This Row],[HalfWidth]],DiscreteStatsTable[[#This Row],[BatchMeansHalfWidth]])</f>
        <v>1.2303688524788799E-3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2.63305603648742E-5</v>
      </c>
      <c r="H5">
        <v>3.9372704509931203E-5</v>
      </c>
      <c r="I5">
        <v>0</v>
      </c>
      <c r="J5">
        <v>2.9229808664695201E-2</v>
      </c>
      <c r="K5">
        <v>1593</v>
      </c>
      <c r="L5" t="str">
        <f>DiscreteStatsTable[[#This Row],[ProjectName]]&amp;DiscreteStatsTable[[#This Row],[Name]]&amp;DiscreteStatsTable[[#This Row],[Type]]&amp;DiscreteStatsTable[[#This Row],[Source]]</f>
        <v>Unnamed ProjectCola Caseta 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2.63305603648742E-5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2.63305603648742E-5</v>
      </c>
      <c r="S5" cm="1">
        <f t="array" ref="S5">MAX(IF((DiscreteStatsTable[GroupByKey]=DiscreteStatsTable[[#This Row],[GroupByKey]]),(DiscreteStatsTable[GroupByKey]=DiscreteStatsTable[[#This Row],[GroupByKey]])*DiscreteStatsTable[Average]))</f>
        <v>2.63305603648742E-5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2.9229808664695201E-2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1593</v>
      </c>
      <c r="W5">
        <f>IF((DiscreteStatsTable[[#This Row],[RepsRequested]]&gt;1),DiscreteStatsTable[[#This Row],[HalfWidth]],DiscreteStatsTable[[#This Row],[BatchMeansHalfWidth]])</f>
        <v>3.9372704509931203E-5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3.0217686722278998E-3</v>
      </c>
      <c r="H6">
        <v>1.13609932789893E-3</v>
      </c>
      <c r="I6">
        <v>0</v>
      </c>
      <c r="J6">
        <v>0.19767011479683599</v>
      </c>
      <c r="K6">
        <v>4846</v>
      </c>
      <c r="L6" t="str">
        <f>DiscreteStatsTable[[#This Row],[ProjectName]]&amp;DiscreteStatsTable[[#This Row],[Name]]&amp;DiscreteStatsTable[[#This Row],[Type]]&amp;DiscreteStatsTable[[#This Row],[Source]]</f>
        <v>Unnamed ProjectCola Caseta D.QueueWaiting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3.0217686722278998E-3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3.0217686722278998E-3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3.0217686722278998E-3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0.19767011479683599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4846</v>
      </c>
      <c r="W6">
        <f>IF((DiscreteStatsTable[[#This Row],[RepsRequested]]&gt;1),DiscreteStatsTable[[#This Row],[HalfWidth]],DiscreteStatsTable[[#This Row],[BatchMeansHalfWidth]])</f>
        <v>1.13609932789893E-3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71</v>
      </c>
      <c r="F7" t="s">
        <v>72</v>
      </c>
      <c r="G7">
        <v>6.3098299998257698E-4</v>
      </c>
      <c r="H7">
        <v>6.6198957976231398E-4</v>
      </c>
      <c r="I7">
        <v>0</v>
      </c>
      <c r="J7">
        <v>9.0804770493370796E-2</v>
      </c>
      <c r="K7">
        <v>667</v>
      </c>
      <c r="L7" t="str">
        <f>DiscreteStatsTable[[#This Row],[ProjectName]]&amp;DiscreteStatsTable[[#This Row],[Name]]&amp;DiscreteStatsTable[[#This Row],[Type]]&amp;DiscreteStatsTable[[#This Row],[Source]]</f>
        <v>Unnamed ProjectCola Caseta E.QueueWaiting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6.3098299998257698E-4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6.3098299998257698E-4</v>
      </c>
      <c r="S7" cm="1">
        <f t="array" ref="S7">MAX(IF((DiscreteStatsTable[GroupByKey]=DiscreteStatsTable[[#This Row],[GroupByKey]]),(DiscreteStatsTable[GroupByKey]=DiscreteStatsTable[[#This Row],[GroupByKey]])*DiscreteStatsTable[Average]))</f>
        <v>6.3098299998257698E-4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9.0804770493370796E-2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667</v>
      </c>
      <c r="W7">
        <f>IF((DiscreteStatsTable[[#This Row],[RepsRequested]]&gt;1),DiscreteStatsTable[[#This Row],[HalfWidth]],DiscreteStatsTable[[#This Row],[BatchMeansHalfWidth]])</f>
        <v>6.6198957976231398E-4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0</v>
      </c>
      <c r="H8">
        <v>0</v>
      </c>
      <c r="I8">
        <v>0</v>
      </c>
      <c r="J8">
        <v>0</v>
      </c>
      <c r="K8">
        <v>7106</v>
      </c>
      <c r="L8" t="str">
        <f>DiscreteStatsTable[[#This Row],[ProjectName]]&amp;DiscreteStatsTable[[#This Row],[Name]]&amp;DiscreteStatsTable[[#This Row],[Type]]&amp;DiscreteStatsTable[[#This Row],[Source]]</f>
        <v>Unnamed ProjectVehículoNVA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7106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78</v>
      </c>
      <c r="E9" t="s">
        <v>81</v>
      </c>
      <c r="F9" t="s">
        <v>80</v>
      </c>
      <c r="G9">
        <v>0</v>
      </c>
      <c r="H9">
        <v>0</v>
      </c>
      <c r="I9">
        <v>0</v>
      </c>
      <c r="J9">
        <v>0</v>
      </c>
      <c r="K9">
        <v>7106</v>
      </c>
      <c r="L9" t="str">
        <f>DiscreteStatsTable[[#This Row],[ProjectName]]&amp;DiscreteStatsTable[[#This Row],[Name]]&amp;DiscreteStatsTable[[#This Row],[Type]]&amp;DiscreteStatsTable[[#This Row],[Source]]</f>
        <v>Unnamed ProjectVehículoOther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7106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78</v>
      </c>
      <c r="E10" t="s">
        <v>82</v>
      </c>
      <c r="F10" t="s">
        <v>80</v>
      </c>
      <c r="G10">
        <v>3.3004214810256401E-2</v>
      </c>
      <c r="H10">
        <v>1.2950813504563001E-3</v>
      </c>
      <c r="I10">
        <v>0</v>
      </c>
      <c r="J10">
        <v>0.33422608253291503</v>
      </c>
      <c r="K10">
        <v>7106</v>
      </c>
      <c r="L10" t="str">
        <f>DiscreteStatsTable[[#This Row],[ProjectName]]&amp;DiscreteStatsTable[[#This Row],[Name]]&amp;DiscreteStatsTable[[#This Row],[Type]]&amp;DiscreteStatsTable[[#This Row],[Source]]</f>
        <v>Unnamed ProjectVehículoTotal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3.3004214810256401E-2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3.3004214810256401E-2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3.3004214810256401E-2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0.33422608253291503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7106</v>
      </c>
      <c r="W10">
        <f>IF((DiscreteStatsTable[[#This Row],[RepsRequested]]&gt;1),DiscreteStatsTable[[#This Row],[HalfWidth]],DiscreteStatsTable[[#This Row],[BatchMeansHalfWidth]])</f>
        <v>1.2950813504563001E-3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78</v>
      </c>
      <c r="E11" t="s">
        <v>83</v>
      </c>
      <c r="F11" t="s">
        <v>80</v>
      </c>
      <c r="G11">
        <v>0</v>
      </c>
      <c r="H11">
        <v>0</v>
      </c>
      <c r="I11">
        <v>0</v>
      </c>
      <c r="J11">
        <v>0</v>
      </c>
      <c r="K11">
        <v>7106</v>
      </c>
      <c r="L11" t="str">
        <f>DiscreteStatsTable[[#This Row],[ProjectName]]&amp;DiscreteStatsTable[[#This Row],[Name]]&amp;DiscreteStatsTable[[#This Row],[Type]]&amp;DiscreteStatsTable[[#This Row],[Source]]</f>
        <v>Unnamed ProjectVehículoTransfer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7106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78</v>
      </c>
      <c r="E12" t="s">
        <v>84</v>
      </c>
      <c r="F12" t="s">
        <v>80</v>
      </c>
      <c r="G12">
        <v>2.8008272657136801E-2</v>
      </c>
      <c r="H12">
        <v>5.6034814452468802E-4</v>
      </c>
      <c r="I12">
        <v>0</v>
      </c>
      <c r="J12">
        <v>0.16306408188452801</v>
      </c>
      <c r="K12">
        <v>7106</v>
      </c>
      <c r="L12" t="str">
        <f>DiscreteStatsTable[[#This Row],[ProjectName]]&amp;DiscreteStatsTable[[#This Row],[Name]]&amp;DiscreteStatsTable[[#This Row],[Type]]&amp;DiscreteStatsTable[[#This Row],[Source]]</f>
        <v>Unnamed ProjectVehículoVA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2.8008272657136801E-2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2.8008272657136801E-2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2.8008272657136801E-2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0.16306408188452801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7106</v>
      </c>
      <c r="W12">
        <f>IF((DiscreteStatsTable[[#This Row],[RepsRequested]]&gt;1),DiscreteStatsTable[[#This Row],[HalfWidth]],DiscreteStatsTable[[#This Row],[BatchMeansHalfWidth]])</f>
        <v>5.6034814452468802E-4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78</v>
      </c>
      <c r="E13" t="s">
        <v>85</v>
      </c>
      <c r="F13" t="s">
        <v>80</v>
      </c>
      <c r="G13">
        <v>4.9959421531197701E-3</v>
      </c>
      <c r="H13">
        <v>1.08268201783404E-3</v>
      </c>
      <c r="I13">
        <v>0</v>
      </c>
      <c r="J13">
        <v>0.21343982908956799</v>
      </c>
      <c r="K13">
        <v>7106</v>
      </c>
      <c r="L13" t="str">
        <f>DiscreteStatsTable[[#This Row],[ProjectName]]&amp;DiscreteStatsTable[[#This Row],[Name]]&amp;DiscreteStatsTable[[#This Row],[Type]]&amp;DiscreteStatsTable[[#This Row],[Source]]</f>
        <v>Unnamed ProjectVehículoWait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4.9959421531197701E-3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4.9959421531197701E-3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4.9959421531197701E-3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0.21343982908956799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7106</v>
      </c>
      <c r="W13">
        <f>IF((DiscreteStatsTable[[#This Row],[RepsRequested]]&gt;1),DiscreteStatsTable[[#This Row],[HalfWidth]],DiscreteStatsTable[[#This Row],[BatchMeansHalfWidth]])</f>
        <v>1.08268201783404E-3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</sheetData>
  <phoneticPr fontId="2" type="noConversion"/>
  <conditionalFormatting sqref="H2:H13 Q2:Q13">
    <cfRule type="expression" dxfId="20" priority="23">
      <formula>H2=200000000000000000000</formula>
    </cfRule>
  </conditionalFormatting>
  <conditionalFormatting sqref="H2:H13">
    <cfRule type="expression" dxfId="19" priority="21">
      <formula>H2=300000000000000000000</formula>
    </cfRule>
  </conditionalFormatting>
  <conditionalFormatting sqref="L2:Y13">
    <cfRule type="expression" dxfId="18" priority="19">
      <formula>MOD(ROW(),2)=0</formula>
    </cfRule>
  </conditionalFormatting>
  <conditionalFormatting sqref="Y2:Y13">
    <cfRule type="expression" dxfId="17" priority="14">
      <formula>Y2=0</formula>
    </cfRule>
    <cfRule type="expression" dxfId="16" priority="16">
      <formula>Y2=1</formula>
    </cfRule>
  </conditionalFormatting>
  <conditionalFormatting sqref="Y3:Y13">
    <cfRule type="expression" dxfId="15" priority="15">
      <formula>Y3=1</formula>
    </cfRule>
  </conditionalFormatting>
  <conditionalFormatting sqref="W2:W13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3 W2:W13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"/>
  <sheetViews>
    <sheetView workbookViewId="0">
      <selection activeCell="A2" sqref="A2:L1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21.72656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54296875" bestFit="1" customWidth="1"/>
    <col min="11" max="11" width="19.1796875" bestFit="1" customWidth="1"/>
    <col min="12" max="12" width="11.1796875" bestFit="1" customWidth="1"/>
    <col min="13" max="13" width="52.54296875" bestFit="1" customWidth="1"/>
    <col min="14" max="14" width="16" bestFit="1" customWidth="1"/>
    <col min="15" max="15" width="18.6328125" bestFit="1" customWidth="1"/>
    <col min="16" max="16" width="16.6328125" bestFit="1" customWidth="1"/>
    <col min="17" max="17" width="19" bestFit="1" customWidth="1"/>
    <col min="18" max="18" width="11.6328125" bestFit="1" customWidth="1"/>
    <col min="19" max="19" width="17.90625" bestFit="1" customWidth="1"/>
    <col min="20" max="20" width="18.36328125" bestFit="1" customWidth="1"/>
    <col min="21" max="21" width="19.63281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86</v>
      </c>
      <c r="E2" t="s">
        <v>87</v>
      </c>
      <c r="F2" t="s">
        <v>88</v>
      </c>
      <c r="G2">
        <v>3.77814010576858E-2</v>
      </c>
      <c r="H2">
        <v>3.2981373624592801E-3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ProjectAgenteInstantaneous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3.77814010576858E-2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3.77814010576858E-2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3.77814010576858E-2</v>
      </c>
      <c r="U2">
        <f>IF((ContinuousStatsTable[[#This Row],[RepsRequested]]&gt;1),ContinuousStatsTable[[#This Row],[HalfWidth]],ContinuousStatsTable[[#This Row],[BatchMeansHalfWidth]])</f>
        <v>3.2981373624592801E-3</v>
      </c>
    </row>
    <row r="3" spans="1:21" x14ac:dyDescent="0.35">
      <c r="A3" t="s">
        <v>66</v>
      </c>
      <c r="B3" t="s">
        <v>69</v>
      </c>
      <c r="C3">
        <v>1</v>
      </c>
      <c r="D3" t="s">
        <v>86</v>
      </c>
      <c r="E3" t="s">
        <v>89</v>
      </c>
      <c r="F3" t="s">
        <v>88</v>
      </c>
      <c r="G3">
        <v>0.113344203173057</v>
      </c>
      <c r="H3">
        <v>9.8944120873778307E-3</v>
      </c>
      <c r="I3">
        <v>0</v>
      </c>
      <c r="J3">
        <v>3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ProjectAgenteNumber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0.113344203173057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0.113344203173057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0.113344203173057</v>
      </c>
      <c r="U3">
        <f>IF((ContinuousStatsTable[[#This Row],[RepsRequested]]&gt;1),ContinuousStatsTable[[#This Row],[HalfWidth]],ContinuousStatsTable[[#This Row],[BatchMeansHalfWidth]])</f>
        <v>9.8944120873778307E-3</v>
      </c>
    </row>
    <row r="4" spans="1:21" x14ac:dyDescent="0.35">
      <c r="A4" t="s">
        <v>66</v>
      </c>
      <c r="B4" t="s">
        <v>69</v>
      </c>
      <c r="C4">
        <v>1</v>
      </c>
      <c r="D4" t="s">
        <v>86</v>
      </c>
      <c r="E4" t="s">
        <v>90</v>
      </c>
      <c r="F4" t="s">
        <v>88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ProjectAgenteNumber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91</v>
      </c>
      <c r="F5" t="s">
        <v>72</v>
      </c>
      <c r="G5">
        <v>5.3311703158704195E-4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ProjectCaseta A.QueueNumber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5.3311703158704195E-4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5.3311703158704195E-4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5.3311703158704195E-4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92</v>
      </c>
      <c r="E6" t="s">
        <v>91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ProjectCaseta B.QueueNumber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93</v>
      </c>
      <c r="E7" t="s">
        <v>91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ProjectCaseta C.QueueNumber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73</v>
      </c>
      <c r="E8" t="s">
        <v>91</v>
      </c>
      <c r="F8" t="s">
        <v>72</v>
      </c>
      <c r="G8">
        <v>3.54759315099787E-2</v>
      </c>
      <c r="H8">
        <v>5.5177607730702198E-3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ProjectCaseta D.QueueNumber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3.54759315099787E-2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3.54759315099787E-2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3.54759315099787E-2</v>
      </c>
      <c r="U8">
        <f>IF((ContinuousStatsTable[[#This Row],[RepsRequested]]&gt;1),ContinuousStatsTable[[#This Row],[HalfWidth]],ContinuousStatsTable[[#This Row],[BatchMeansHalfWidth]])</f>
        <v>5.5177607730702198E-3</v>
      </c>
    </row>
    <row r="9" spans="1:21" x14ac:dyDescent="0.35">
      <c r="A9" t="s">
        <v>66</v>
      </c>
      <c r="B9" t="s">
        <v>69</v>
      </c>
      <c r="C9">
        <v>1</v>
      </c>
      <c r="D9" t="s">
        <v>74</v>
      </c>
      <c r="E9" t="s">
        <v>91</v>
      </c>
      <c r="F9" t="s">
        <v>72</v>
      </c>
      <c r="G9">
        <v>6.4802508559407704E-3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ProjectCaseta E.QueueNumber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6.4802508559407704E-3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6.4802508559407704E-3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6.4802508559407704E-3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75</v>
      </c>
      <c r="E10" t="s">
        <v>91</v>
      </c>
      <c r="F10" t="s">
        <v>72</v>
      </c>
      <c r="G10">
        <v>8.7384547210926205E-5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ProjectCola Caseta 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8.7384547210926205E-5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8.7384547210926205E-5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8.7384547210926205E-5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69</v>
      </c>
      <c r="C11">
        <v>1</v>
      </c>
      <c r="D11" t="s">
        <v>94</v>
      </c>
      <c r="E11" t="s">
        <v>91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ProjectCola Caseta B.QueueNumber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95</v>
      </c>
      <c r="E12" t="s">
        <v>91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ProjectCola Caseta C.QueueNumber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76</v>
      </c>
      <c r="E13" t="s">
        <v>91</v>
      </c>
      <c r="F13" t="s">
        <v>72</v>
      </c>
      <c r="G13">
        <v>3.0507272886700899E-2</v>
      </c>
      <c r="H13">
        <v>1.0687180484168401E-2</v>
      </c>
      <c r="I13">
        <v>0</v>
      </c>
      <c r="J13">
        <v>10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ProjectCola Caseta D.QueueNumber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3.0507272886700899E-2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3.0507272886700899E-2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3.0507272886700899E-2</v>
      </c>
      <c r="U13" s="5">
        <f>IF((ContinuousStatsTable[[#This Row],[RepsRequested]]&gt;1),ContinuousStatsTable[[#This Row],[HalfWidth]],ContinuousStatsTable[[#This Row],[BatchMeansHalfWidth]])</f>
        <v>1.0687180484168401E-2</v>
      </c>
    </row>
    <row r="14" spans="1:21" x14ac:dyDescent="0.35">
      <c r="A14" t="s">
        <v>66</v>
      </c>
      <c r="B14" t="s">
        <v>69</v>
      </c>
      <c r="C14">
        <v>1</v>
      </c>
      <c r="D14" t="s">
        <v>77</v>
      </c>
      <c r="E14" t="s">
        <v>91</v>
      </c>
      <c r="F14" t="s">
        <v>72</v>
      </c>
      <c r="G14">
        <v>8.7680346039245604E-4</v>
      </c>
      <c r="H14">
        <v>2E+20</v>
      </c>
      <c r="I14">
        <v>0</v>
      </c>
      <c r="J14">
        <v>2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ProjectCola Caseta E.QueueNumber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8.7680346039245604E-4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8.7680346039245604E-4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8.7680346039245604E-4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96</v>
      </c>
      <c r="E15" t="s">
        <v>87</v>
      </c>
      <c r="F15" t="s">
        <v>88</v>
      </c>
      <c r="G15">
        <v>0.15064746664431899</v>
      </c>
      <c r="H15">
        <v>3E+20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ProjectPCInstantaneous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0.15064746664431899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0.15064746664431899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0.15064746664431899</v>
      </c>
      <c r="U15" s="5">
        <f>IF((ContinuousStatsTable[[#This Row],[RepsRequested]]&gt;1),ContinuousStatsTable[[#This Row],[HalfWidth]],ContinuousStatsTable[[#This Row],[BatchMeansHalfWidth]])</f>
        <v>3E+20</v>
      </c>
    </row>
    <row r="16" spans="1:21" x14ac:dyDescent="0.35">
      <c r="A16" t="s">
        <v>66</v>
      </c>
      <c r="B16" t="s">
        <v>69</v>
      </c>
      <c r="C16">
        <v>1</v>
      </c>
      <c r="D16" t="s">
        <v>96</v>
      </c>
      <c r="E16" t="s">
        <v>89</v>
      </c>
      <c r="F16" t="s">
        <v>88</v>
      </c>
      <c r="G16">
        <v>0.30129493328863799</v>
      </c>
      <c r="H16">
        <v>3E+20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ProjectPCNumber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0.30129493328863799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0.30129493328863799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0.30129493328863799</v>
      </c>
      <c r="U16" s="5">
        <f>IF((ContinuousStatsTable[[#This Row],[RepsRequested]]&gt;1),ContinuousStatsTable[[#This Row],[HalfWidth]],ContinuousStatsTable[[#This Row],[BatchMeansHalfWidth]])</f>
        <v>3E+20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90</v>
      </c>
      <c r="F17" t="s">
        <v>88</v>
      </c>
      <c r="G17">
        <v>2</v>
      </c>
      <c r="H17">
        <v>2E+20</v>
      </c>
      <c r="I17">
        <v>2</v>
      </c>
      <c r="J17">
        <v>2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ProjectPCNumber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78</v>
      </c>
      <c r="E18" t="s">
        <v>97</v>
      </c>
      <c r="F18" t="s">
        <v>80</v>
      </c>
      <c r="G18">
        <v>0.48859989675350401</v>
      </c>
      <c r="H18">
        <v>4.8195516484692898E-2</v>
      </c>
      <c r="I18">
        <v>0</v>
      </c>
      <c r="J18">
        <v>16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ProjectVehículoWIPEntity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0.48859989675350401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0.48859989675350401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0.48859989675350401</v>
      </c>
      <c r="U18" s="5">
        <f>IF((ContinuousStatsTable[[#This Row],[RepsRequested]]&gt;1),ContinuousStatsTable[[#This Row],[HalfWidth]],ContinuousStatsTable[[#This Row],[BatchMeansHalfWidth]])</f>
        <v>4.8195516484692898E-2</v>
      </c>
    </row>
  </sheetData>
  <phoneticPr fontId="2" type="noConversion"/>
  <conditionalFormatting sqref="H2:H18">
    <cfRule type="expression" dxfId="11" priority="9">
      <formula>H2=200000000000000000000</formula>
    </cfRule>
  </conditionalFormatting>
  <conditionalFormatting sqref="H2:H18">
    <cfRule type="expression" dxfId="10" priority="7">
      <formula>H2=300000000000000000000</formula>
    </cfRule>
  </conditionalFormatting>
  <conditionalFormatting sqref="M2:U18">
    <cfRule type="expression" dxfId="9" priority="5">
      <formula>MOD(ROW(),2)=0</formula>
    </cfRule>
  </conditionalFormatting>
  <conditionalFormatting sqref="U2:U1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 U2:U1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7265625" bestFit="1" customWidth="1"/>
    <col min="8" max="8" width="13.36328125" bestFit="1" customWidth="1"/>
    <col min="9" max="9" width="16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24.26953125" bestFit="1" customWidth="1"/>
    <col min="5" max="5" width="18.26953125" bestFit="1" customWidth="1"/>
    <col min="6" max="6" width="8.7265625" bestFit="1" customWidth="1"/>
    <col min="7" max="7" width="15.7265625" bestFit="1" customWidth="1"/>
    <col min="8" max="8" width="11.1796875" bestFit="1" customWidth="1"/>
    <col min="9" max="9" width="64.36328125" bestFit="1" customWidth="1"/>
    <col min="10" max="10" width="16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88</v>
      </c>
      <c r="G2">
        <v>1593</v>
      </c>
      <c r="H2">
        <v>0</v>
      </c>
      <c r="I2" t="str">
        <f>OutputTable[[#This Row],[ProjectName]]&amp;OutputTable[[#This Row],[Name]]&amp;OutputTable[[#This Row],[Type]]&amp;OutputTable[[#This Row],[Source]]</f>
        <v>Unnamed ProjectAgente.NumberSeizedTotal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1593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1593</v>
      </c>
      <c r="P2" cm="1">
        <f t="array" ref="P2">MAX(IF((OutputTable[GroupByKey]=OutputTable[[#This Row],[GroupByKey]]),(OutputTable[GroupByKey]=OutputTable[[#This Row],[GroupByKey]])*OutputTable[RecordedValue]))</f>
        <v>1593</v>
      </c>
    </row>
    <row r="3" spans="1:16" x14ac:dyDescent="0.35">
      <c r="A3" t="s">
        <v>66</v>
      </c>
      <c r="B3" t="s">
        <v>69</v>
      </c>
      <c r="C3">
        <v>1</v>
      </c>
      <c r="D3" t="s">
        <v>100</v>
      </c>
      <c r="E3" t="s">
        <v>101</v>
      </c>
      <c r="F3" t="s">
        <v>88</v>
      </c>
      <c r="G3">
        <v>3.7781401057685703E-2</v>
      </c>
      <c r="H3">
        <v>0</v>
      </c>
      <c r="I3" t="str">
        <f>OutputTable[[#This Row],[ProjectName]]&amp;OutputTable[[#This Row],[Name]]&amp;OutputTable[[#This Row],[Type]]&amp;OutputTable[[#This Row],[Source]]</f>
        <v>Unnamed ProjectAgente.ScheduledUtilizationScheduled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3.7781401057685703E-2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3.7781401057685703E-2</v>
      </c>
      <c r="P3" cm="1">
        <f t="array" ref="P3">MAX(IF((OutputTable[GroupByKey]=OutputTable[[#This Row],[GroupByKey]]),(OutputTable[GroupByKey]=OutputTable[[#This Row],[GroupByKey]])*OutputTable[RecordedValue]))</f>
        <v>3.7781401057685703E-2</v>
      </c>
    </row>
    <row r="4" spans="1:16" x14ac:dyDescent="0.35">
      <c r="A4" t="s">
        <v>66</v>
      </c>
      <c r="B4" t="s">
        <v>69</v>
      </c>
      <c r="C4">
        <v>1</v>
      </c>
      <c r="D4" t="s">
        <v>102</v>
      </c>
      <c r="E4" t="s">
        <v>99</v>
      </c>
      <c r="F4" t="s">
        <v>88</v>
      </c>
      <c r="G4">
        <v>5513</v>
      </c>
      <c r="H4">
        <v>0</v>
      </c>
      <c r="I4" t="str">
        <f>OutputTable[[#This Row],[ProjectName]]&amp;OutputTable[[#This Row],[Name]]&amp;OutputTable[[#This Row],[Type]]&amp;OutputTable[[#This Row],[Source]]</f>
        <v>Unnamed ProjectPC.NumberSeizedTotal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5513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5513</v>
      </c>
      <c r="P4" cm="1">
        <f t="array" ref="P4">MAX(IF((OutputTable[GroupByKey]=OutputTable[[#This Row],[GroupByKey]]),(OutputTable[GroupByKey]=OutputTable[[#This Row],[GroupByKey]])*OutputTable[RecordedValue]))</f>
        <v>5513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101</v>
      </c>
      <c r="F5" t="s">
        <v>88</v>
      </c>
      <c r="G5">
        <v>0.15064746664431899</v>
      </c>
      <c r="H5">
        <v>0</v>
      </c>
      <c r="I5" t="str">
        <f>OutputTable[[#This Row],[ProjectName]]&amp;OutputTable[[#This Row],[Name]]&amp;OutputTable[[#This Row],[Type]]&amp;OutputTable[[#This Row],[Source]]</f>
        <v>Unnamed ProjectPC.ScheduledUtilizationScheduled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0.15064746664431899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0.15064746664431899</v>
      </c>
      <c r="P5" cm="1">
        <f t="array" ref="P5">MAX(IF((OutputTable[GroupByKey]=OutputTable[[#This Row],[GroupByKey]]),(OutputTable[GroupByKey]=OutputTable[[#This Row],[GroupByKey]])*OutputTable[RecordedValue]))</f>
        <v>0.15064746664431899</v>
      </c>
    </row>
    <row r="6" spans="1:16" x14ac:dyDescent="0.35">
      <c r="A6" t="s">
        <v>66</v>
      </c>
      <c r="B6" t="s">
        <v>69</v>
      </c>
      <c r="C6">
        <v>1</v>
      </c>
      <c r="D6" t="s">
        <v>104</v>
      </c>
      <c r="E6" t="s">
        <v>105</v>
      </c>
      <c r="F6" t="s">
        <v>106</v>
      </c>
      <c r="G6">
        <v>7106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7106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7106</v>
      </c>
      <c r="P6" cm="1">
        <f t="array" ref="P6">MAX(IF((OutputTable[GroupByKey]=OutputTable[[#This Row],[GroupByKey]]),(OutputTable[GroupByKey]=OutputTable[[#This Row],[GroupByKey]])*OutputTable[RecordedValue]))</f>
        <v>7106</v>
      </c>
    </row>
    <row r="7" spans="1:16" x14ac:dyDescent="0.35">
      <c r="A7" t="s">
        <v>66</v>
      </c>
      <c r="B7" t="s">
        <v>69</v>
      </c>
      <c r="C7">
        <v>1</v>
      </c>
      <c r="D7" t="s">
        <v>107</v>
      </c>
      <c r="E7" t="s">
        <v>108</v>
      </c>
      <c r="F7" t="s">
        <v>80</v>
      </c>
      <c r="G7">
        <v>14492</v>
      </c>
      <c r="H7">
        <v>0</v>
      </c>
      <c r="I7" t="str">
        <f>OutputTable[[#This Row],[ProjectName]]&amp;OutputTable[[#This Row],[Name]]&amp;OutputTable[[#This Row],[Type]]&amp;OutputTable[[#This Row],[Source]]</f>
        <v>Unnamed ProjectVehículo.NumberInNumber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14492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14492</v>
      </c>
      <c r="P7" cm="1">
        <f t="array" ref="P7">MAX(IF((OutputTable[GroupByKey]=OutputTable[[#This Row],[GroupByKey]]),(OutputTable[GroupByKey]=OutputTable[[#This Row],[GroupByKey]])*OutputTable[RecordedValue]))</f>
        <v>14492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105</v>
      </c>
      <c r="F8" t="s">
        <v>80</v>
      </c>
      <c r="G8">
        <v>14492</v>
      </c>
      <c r="H8">
        <v>0</v>
      </c>
      <c r="I8" t="str">
        <f>OutputTable[[#This Row],[ProjectName]]&amp;OutputTable[[#This Row],[Name]]&amp;OutputTable[[#This Row],[Type]]&amp;OutputTable[[#This Row],[Source]]</f>
        <v>Unnamed ProjectVehículo.NumberOutNumber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14492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14492</v>
      </c>
      <c r="P8" cm="1">
        <f t="array" ref="P8">MAX(IF((OutputTable[GroupByKey]=OutputTable[[#This Row],[GroupByKey]]),(OutputTable[GroupByKey]=OutputTable[[#This Row],[GroupByKey]])*OutputTable[RecordedValue]))</f>
        <v>14492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1796875" bestFit="1" customWidth="1"/>
    <col min="8" max="8" width="21" bestFit="1" customWidth="1"/>
    <col min="9" max="9" width="23.08984375" bestFit="1" customWidth="1"/>
    <col min="10" max="10" width="24.453125" bestFit="1" customWidth="1"/>
    <col min="11" max="11" width="15" bestFit="1" customWidth="1"/>
    <col min="12" max="12" width="13.36328125" bestFit="1" customWidth="1"/>
    <col min="13" max="13" width="28.1796875" bestFit="1" customWidth="1"/>
    <col min="14" max="14" width="29.08984375" bestFit="1" customWidth="1"/>
    <col min="15" max="15" width="16" bestFit="1" customWidth="1"/>
    <col min="16" max="16" width="27" bestFit="1" customWidth="1"/>
    <col min="17" max="17" width="27.81640625" bestFit="1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EDUARDO PALOU DE COMASEMA JAUME</cp:lastModifiedBy>
  <cp:lastPrinted>2022-03-22T10:33:10Z</cp:lastPrinted>
  <dcterms:created xsi:type="dcterms:W3CDTF">2020-06-29T21:30:31Z</dcterms:created>
  <dcterms:modified xsi:type="dcterms:W3CDTF">2024-12-22T13:13:03Z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