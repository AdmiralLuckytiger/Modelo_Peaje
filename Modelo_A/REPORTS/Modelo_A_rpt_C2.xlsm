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Edupa\Desktop\MYS_P2\Modelo_A\"/>
    </mc:Choice>
  </mc:AlternateContent>
  <xr:revisionPtr revIDLastSave="0" documentId="13_ncr:1_{C537E148-8260-4E55-B262-96FDC3D8A160}" xr6:coauthVersionLast="47" xr6:coauthVersionMax="47" xr10:uidLastSave="{00000000-0000-0000-0000-000000000000}"/>
  <bookViews>
    <workbookView xWindow="-110" yWindow="-110" windowWidth="23240" windowHeight="1321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ContinuousTimeStatsByRep!$A$1:$L$18</definedName>
    <definedName name="ExternalData_1" localSheetId="4" hidden="1">CounterStatsByRep!$A$1:$G$2</definedName>
    <definedName name="ExternalData_1" localSheetId="2" hidden="1">DiscreteTimeStatsByRep!$A$1:$K$17</definedName>
    <definedName name="ExternalData_1" localSheetId="6" hidden="1">FrequencyStatsByRep!$A$1:$K$2</definedName>
    <definedName name="ExternalData_1" localSheetId="5" hidden="1">OutputStatsByRep!$A$1:$H$8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/>
  <c r="J8" i="20" a="1"/>
  <c r="J8" i="20"/>
  <c r="K2" i="20" a="1"/>
  <c r="K2" i="20"/>
  <c r="K3" i="20" a="1"/>
  <c r="K3" i="20"/>
  <c r="K4" i="20" a="1"/>
  <c r="K4" i="20"/>
  <c r="K5" i="20" a="1"/>
  <c r="K5" i="20"/>
  <c r="K6" i="20" a="1"/>
  <c r="K6" i="20"/>
  <c r="K7" i="20" a="1"/>
  <c r="K7" i="20"/>
  <c r="K8" i="20" a="1"/>
  <c r="K8" i="20"/>
  <c r="L2" i="20" a="1"/>
  <c r="L2" i="20"/>
  <c r="L3" i="20" a="1"/>
  <c r="L3" i="20"/>
  <c r="L4" i="20" a="1"/>
  <c r="L4" i="20"/>
  <c r="L5" i="20" a="1"/>
  <c r="L5" i="20"/>
  <c r="L6" i="20" a="1"/>
  <c r="L6" i="20"/>
  <c r="L7" i="20" a="1"/>
  <c r="L7" i="20"/>
  <c r="L8" i="20" a="1"/>
  <c r="L8" i="20"/>
  <c r="M2" i="20" a="1"/>
  <c r="M2" i="20"/>
  <c r="M3" i="20" a="1"/>
  <c r="M3" i="20"/>
  <c r="M4" i="20" a="1"/>
  <c r="M4" i="20"/>
  <c r="M5" i="20" a="1"/>
  <c r="M5" i="20"/>
  <c r="M6" i="20" a="1"/>
  <c r="M6" i="20"/>
  <c r="M7" i="20" a="1"/>
  <c r="M7" i="20"/>
  <c r="M8" i="20" a="1"/>
  <c r="M8" i="20"/>
  <c r="N2" i="20"/>
  <c r="N3" i="20"/>
  <c r="N4" i="20"/>
  <c r="N5" i="20"/>
  <c r="N6" i="20"/>
  <c r="N7" i="20"/>
  <c r="N8" i="20"/>
  <c r="O2" i="20" a="1"/>
  <c r="O2" i="20"/>
  <c r="O3" i="20" a="1"/>
  <c r="O3" i="20"/>
  <c r="O4" i="20" a="1"/>
  <c r="O4" i="20"/>
  <c r="O5" i="20" a="1"/>
  <c r="O5" i="20"/>
  <c r="O6" i="20" a="1"/>
  <c r="O6" i="20"/>
  <c r="O7" i="20" a="1"/>
  <c r="O7" i="20"/>
  <c r="O8" i="20" a="1"/>
  <c r="O8" i="20"/>
  <c r="P2" i="20" a="1"/>
  <c r="P2" i="20"/>
  <c r="P3" i="20" a="1"/>
  <c r="P3" i="20"/>
  <c r="P4" i="20" a="1"/>
  <c r="P4" i="20"/>
  <c r="P5" i="20" a="1"/>
  <c r="P5" i="20"/>
  <c r="P6" i="20" a="1"/>
  <c r="P6" i="20"/>
  <c r="P7" i="20" a="1"/>
  <c r="P7" i="20"/>
  <c r="P8" i="20" a="1"/>
  <c r="P8" i="20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M17" i="18"/>
  <c r="M18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/>
  <c r="N8" i="18" a="1"/>
  <c r="N8" i="18"/>
  <c r="N9" i="18" a="1"/>
  <c r="N9" i="18"/>
  <c r="N10" i="18" a="1"/>
  <c r="N10" i="18"/>
  <c r="N11" i="18" a="1"/>
  <c r="N11" i="18"/>
  <c r="N12" i="18" a="1"/>
  <c r="N12" i="18"/>
  <c r="N13" i="18" a="1"/>
  <c r="N13" i="18"/>
  <c r="N14" i="18" a="1"/>
  <c r="N14" i="18"/>
  <c r="N15" i="18" a="1"/>
  <c r="N15" i="18"/>
  <c r="N16" i="18" a="1"/>
  <c r="N16" i="18"/>
  <c r="N17" i="18" a="1"/>
  <c r="N17" i="18"/>
  <c r="N18" i="18" a="1"/>
  <c r="N18" i="18"/>
  <c r="O2" i="18" a="1"/>
  <c r="O2" i="18"/>
  <c r="O3" i="18" a="1"/>
  <c r="O3" i="18"/>
  <c r="O4" i="18" a="1"/>
  <c r="O4" i="18"/>
  <c r="O5" i="18" a="1"/>
  <c r="O5" i="18"/>
  <c r="O6" i="18" a="1"/>
  <c r="O6" i="18"/>
  <c r="O7" i="18" a="1"/>
  <c r="O7" i="18"/>
  <c r="O8" i="18" a="1"/>
  <c r="O8" i="18"/>
  <c r="O9" i="18" a="1"/>
  <c r="O9" i="18"/>
  <c r="O10" i="18" a="1"/>
  <c r="O10" i="18"/>
  <c r="O11" i="18" a="1"/>
  <c r="O11" i="18"/>
  <c r="O12" i="18" a="1"/>
  <c r="O12" i="18"/>
  <c r="O13" i="18" a="1"/>
  <c r="O13" i="18"/>
  <c r="O14" i="18" a="1"/>
  <c r="O14" i="18"/>
  <c r="O15" i="18" a="1"/>
  <c r="O15" i="18"/>
  <c r="O16" i="18" a="1"/>
  <c r="O16" i="18"/>
  <c r="O17" i="18" a="1"/>
  <c r="O17" i="18"/>
  <c r="O18" i="18" a="1"/>
  <c r="O18" i="18"/>
  <c r="P2" i="18" a="1"/>
  <c r="P2" i="18"/>
  <c r="P3" i="18" a="1"/>
  <c r="P3" i="18"/>
  <c r="P4" i="18" a="1"/>
  <c r="P4" i="18"/>
  <c r="P5" i="18" a="1"/>
  <c r="P5" i="18"/>
  <c r="P6" i="18" a="1"/>
  <c r="P6" i="18"/>
  <c r="P7" i="18" a="1"/>
  <c r="P7" i="18"/>
  <c r="P8" i="18" a="1"/>
  <c r="P8" i="18"/>
  <c r="P9" i="18" a="1"/>
  <c r="P9" i="18"/>
  <c r="P10" i="18" a="1"/>
  <c r="P10" i="18"/>
  <c r="P11" i="18" a="1"/>
  <c r="P11" i="18"/>
  <c r="P12" i="18" a="1"/>
  <c r="P12" i="18"/>
  <c r="P13" i="18" a="1"/>
  <c r="P13" i="18"/>
  <c r="P14" i="18" a="1"/>
  <c r="P14" i="18"/>
  <c r="P15" i="18" a="1"/>
  <c r="P15" i="18"/>
  <c r="P16" i="18" a="1"/>
  <c r="P16" i="18"/>
  <c r="P17" i="18" a="1"/>
  <c r="P17" i="18"/>
  <c r="P18" i="18" a="1"/>
  <c r="P18" i="18"/>
  <c r="Q2" i="18" a="1"/>
  <c r="Q2" i="18"/>
  <c r="Q3" i="18" a="1"/>
  <c r="Q3" i="18"/>
  <c r="Q4" i="18" a="1"/>
  <c r="Q4" i="18"/>
  <c r="Q5" i="18" a="1"/>
  <c r="Q5" i="18"/>
  <c r="Q6" i="18" a="1"/>
  <c r="Q6" i="18"/>
  <c r="Q7" i="18" a="1"/>
  <c r="Q7" i="18"/>
  <c r="Q8" i="18" a="1"/>
  <c r="Q8" i="18"/>
  <c r="Q9" i="18" a="1"/>
  <c r="Q9" i="18"/>
  <c r="Q10" i="18" a="1"/>
  <c r="Q10" i="18"/>
  <c r="Q11" i="18" a="1"/>
  <c r="Q11" i="18"/>
  <c r="Q12" i="18" a="1"/>
  <c r="Q12" i="18"/>
  <c r="Q13" i="18" a="1"/>
  <c r="Q13" i="18"/>
  <c r="Q14" i="18" a="1"/>
  <c r="Q14" i="18"/>
  <c r="Q15" i="18" a="1"/>
  <c r="Q15" i="18"/>
  <c r="Q16" i="18" a="1"/>
  <c r="Q16" i="18"/>
  <c r="Q17" i="18" a="1"/>
  <c r="Q17" i="18"/>
  <c r="Q18" i="18" a="1"/>
  <c r="Q18" i="18"/>
  <c r="R2" i="18"/>
  <c r="R3" i="18"/>
  <c r="R4" i="18"/>
  <c r="R5" i="18"/>
  <c r="R6" i="18"/>
  <c r="R7" i="18"/>
  <c r="R8" i="18"/>
  <c r="R9" i="18"/>
  <c r="R10" i="18"/>
  <c r="R11" i="18"/>
  <c r="R12" i="18"/>
  <c r="R13" i="18"/>
  <c r="R14" i="18"/>
  <c r="R15" i="18"/>
  <c r="R16" i="18"/>
  <c r="R17" i="18"/>
  <c r="R18" i="18"/>
  <c r="S2" i="18" a="1"/>
  <c r="S2" i="18"/>
  <c r="S3" i="18" a="1"/>
  <c r="S3" i="18"/>
  <c r="S4" i="18" a="1"/>
  <c r="S4" i="18"/>
  <c r="S5" i="18" a="1"/>
  <c r="S5" i="18"/>
  <c r="S6" i="18" a="1"/>
  <c r="S6" i="18"/>
  <c r="S7" i="18" a="1"/>
  <c r="S7" i="18"/>
  <c r="S8" i="18" a="1"/>
  <c r="S8" i="18"/>
  <c r="S9" i="18" a="1"/>
  <c r="S9" i="18"/>
  <c r="S10" i="18" a="1"/>
  <c r="S10" i="18"/>
  <c r="S11" i="18" a="1"/>
  <c r="S11" i="18"/>
  <c r="S12" i="18" a="1"/>
  <c r="S12" i="18"/>
  <c r="S13" i="18" a="1"/>
  <c r="S13" i="18"/>
  <c r="S14" i="18" a="1"/>
  <c r="S14" i="18"/>
  <c r="S15" i="18" a="1"/>
  <c r="S15" i="18"/>
  <c r="S16" i="18" a="1"/>
  <c r="S16" i="18"/>
  <c r="S17" i="18" a="1"/>
  <c r="S17" i="18"/>
  <c r="S18" i="18" a="1"/>
  <c r="S18" i="18"/>
  <c r="T2" i="18" a="1"/>
  <c r="T2" i="18"/>
  <c r="T3" i="18" a="1"/>
  <c r="T3" i="18"/>
  <c r="T4" i="18" a="1"/>
  <c r="T4" i="18"/>
  <c r="T5" i="18" a="1"/>
  <c r="T5" i="18"/>
  <c r="T6" i="18" a="1"/>
  <c r="T6" i="18"/>
  <c r="T7" i="18" a="1"/>
  <c r="T7" i="18"/>
  <c r="T8" i="18" a="1"/>
  <c r="T8" i="18"/>
  <c r="T9" i="18" a="1"/>
  <c r="T9" i="18"/>
  <c r="T10" i="18" a="1"/>
  <c r="T10" i="18"/>
  <c r="T11" i="18" a="1"/>
  <c r="T11" i="18"/>
  <c r="T12" i="18" a="1"/>
  <c r="T12" i="18"/>
  <c r="T13" i="18" a="1"/>
  <c r="T13" i="18"/>
  <c r="T14" i="18" a="1"/>
  <c r="T14" i="18"/>
  <c r="T15" i="18" a="1"/>
  <c r="T15" i="18"/>
  <c r="T16" i="18" a="1"/>
  <c r="T16" i="18"/>
  <c r="T17" i="18" a="1"/>
  <c r="T17" i="18"/>
  <c r="T18" i="18" a="1"/>
  <c r="T18" i="18"/>
  <c r="U2" i="18"/>
  <c r="U3" i="18"/>
  <c r="U4" i="18"/>
  <c r="U5" i="18"/>
  <c r="U6" i="18"/>
  <c r="U7" i="18"/>
  <c r="U8" i="18"/>
  <c r="U9" i="18"/>
  <c r="U10" i="18"/>
  <c r="U11" i="18"/>
  <c r="U12" i="18"/>
  <c r="U13" i="18"/>
  <c r="U14" i="18"/>
  <c r="U15" i="18"/>
  <c r="U16" i="18"/>
  <c r="U17" i="18"/>
  <c r="U18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/>
  <c r="M12" i="17" a="1"/>
  <c r="M12" i="17"/>
  <c r="M13" i="17" a="1"/>
  <c r="M13" i="17"/>
  <c r="M14" i="17" a="1"/>
  <c r="M14" i="17"/>
  <c r="M15" i="17" a="1"/>
  <c r="M15" i="17"/>
  <c r="M16" i="17" a="1"/>
  <c r="M16" i="17"/>
  <c r="M17" i="17" a="1"/>
  <c r="M17" i="17"/>
  <c r="N2" i="17" a="1"/>
  <c r="N2" i="17"/>
  <c r="N3" i="17" a="1"/>
  <c r="N3" i="17"/>
  <c r="N4" i="17" a="1"/>
  <c r="N4" i="17"/>
  <c r="N5" i="17" a="1"/>
  <c r="N5" i="17"/>
  <c r="N6" i="17" a="1"/>
  <c r="N6" i="17"/>
  <c r="N7" i="17" a="1"/>
  <c r="N7" i="17"/>
  <c r="N8" i="17" a="1"/>
  <c r="N8" i="17"/>
  <c r="N9" i="17" a="1"/>
  <c r="N9" i="17"/>
  <c r="N10" i="17" a="1"/>
  <c r="N10" i="17"/>
  <c r="N11" i="17" a="1"/>
  <c r="N11" i="17"/>
  <c r="N12" i="17" a="1"/>
  <c r="N12" i="17"/>
  <c r="N13" i="17" a="1"/>
  <c r="N13" i="17"/>
  <c r="N14" i="17" a="1"/>
  <c r="N14" i="17"/>
  <c r="N15" i="17" a="1"/>
  <c r="N15" i="17"/>
  <c r="N16" i="17" a="1"/>
  <c r="N16" i="17"/>
  <c r="N17" i="17" a="1"/>
  <c r="N17" i="17"/>
  <c r="O2" i="17" a="1"/>
  <c r="O2" i="17"/>
  <c r="O3" i="17" a="1"/>
  <c r="O3" i="17"/>
  <c r="O4" i="17" a="1"/>
  <c r="O4" i="17"/>
  <c r="O5" i="17" a="1"/>
  <c r="O5" i="17"/>
  <c r="O6" i="17" a="1"/>
  <c r="O6" i="17"/>
  <c r="O7" i="17" a="1"/>
  <c r="O7" i="17"/>
  <c r="O8" i="17" a="1"/>
  <c r="O8" i="17"/>
  <c r="O9" i="17" a="1"/>
  <c r="O9" i="17"/>
  <c r="O10" i="17" a="1"/>
  <c r="O10" i="17"/>
  <c r="O11" i="17" a="1"/>
  <c r="O11" i="17"/>
  <c r="O12" i="17" a="1"/>
  <c r="O12" i="17"/>
  <c r="O13" i="17" a="1"/>
  <c r="O13" i="17"/>
  <c r="O14" i="17" a="1"/>
  <c r="O14" i="17"/>
  <c r="O15" i="17" a="1"/>
  <c r="O15" i="17"/>
  <c r="O16" i="17" a="1"/>
  <c r="O16" i="17"/>
  <c r="O17" i="17" a="1"/>
  <c r="O17" i="17"/>
  <c r="P2" i="17" a="1"/>
  <c r="P2" i="17"/>
  <c r="P3" i="17" a="1"/>
  <c r="P3" i="17"/>
  <c r="P4" i="17" a="1"/>
  <c r="P4" i="17"/>
  <c r="P5" i="17" a="1"/>
  <c r="P5" i="17"/>
  <c r="P6" i="17" a="1"/>
  <c r="P6" i="17"/>
  <c r="P7" i="17" a="1"/>
  <c r="P7" i="17"/>
  <c r="P8" i="17" a="1"/>
  <c r="P8" i="17"/>
  <c r="P9" i="17" a="1"/>
  <c r="P9" i="17"/>
  <c r="P10" i="17" a="1"/>
  <c r="P10" i="17"/>
  <c r="P11" i="17" a="1"/>
  <c r="P11" i="17"/>
  <c r="P12" i="17" a="1"/>
  <c r="P12" i="17"/>
  <c r="P13" i="17" a="1"/>
  <c r="P13" i="17"/>
  <c r="P14" i="17" a="1"/>
  <c r="P14" i="17"/>
  <c r="P15" i="17" a="1"/>
  <c r="P15" i="17"/>
  <c r="P16" i="17" a="1"/>
  <c r="P16" i="17"/>
  <c r="P17" i="17" a="1"/>
  <c r="P17" i="17"/>
  <c r="R2" i="17" a="1"/>
  <c r="R2" i="17"/>
  <c r="R3" i="17" a="1"/>
  <c r="R3" i="17"/>
  <c r="R4" i="17" a="1"/>
  <c r="R4" i="17"/>
  <c r="R5" i="17" a="1"/>
  <c r="R5" i="17"/>
  <c r="R6" i="17" a="1"/>
  <c r="R6" i="17"/>
  <c r="R7" i="17" a="1"/>
  <c r="R7" i="17"/>
  <c r="R8" i="17" a="1"/>
  <c r="R8" i="17"/>
  <c r="R9" i="17" a="1"/>
  <c r="R9" i="17"/>
  <c r="R10" i="17" a="1"/>
  <c r="R10" i="17"/>
  <c r="R11" i="17" a="1"/>
  <c r="R11" i="17"/>
  <c r="R12" i="17" a="1"/>
  <c r="R12" i="17"/>
  <c r="R13" i="17" a="1"/>
  <c r="R13" i="17"/>
  <c r="R14" i="17" a="1"/>
  <c r="R14" i="17"/>
  <c r="R15" i="17" a="1"/>
  <c r="R15" i="17"/>
  <c r="R16" i="17" a="1"/>
  <c r="R16" i="17"/>
  <c r="R17" i="17" a="1"/>
  <c r="R17" i="17"/>
  <c r="S2" i="17" a="1"/>
  <c r="S2" i="17"/>
  <c r="S3" i="17" a="1"/>
  <c r="S3" i="17"/>
  <c r="S4" i="17" a="1"/>
  <c r="S4" i="17"/>
  <c r="S5" i="17" a="1"/>
  <c r="S5" i="17"/>
  <c r="S6" i="17" a="1"/>
  <c r="S6" i="17"/>
  <c r="S7" i="17" a="1"/>
  <c r="S7" i="17"/>
  <c r="S8" i="17" a="1"/>
  <c r="S8" i="17"/>
  <c r="S9" i="17" a="1"/>
  <c r="S9" i="17"/>
  <c r="S10" i="17" a="1"/>
  <c r="S10" i="17"/>
  <c r="S11" i="17" a="1"/>
  <c r="S11" i="17"/>
  <c r="S12" i="17" a="1"/>
  <c r="S12" i="17"/>
  <c r="S13" i="17" a="1"/>
  <c r="S13" i="17"/>
  <c r="S14" i="17" a="1"/>
  <c r="S14" i="17"/>
  <c r="S15" i="17" a="1"/>
  <c r="S15" i="17"/>
  <c r="S16" i="17" a="1"/>
  <c r="S16" i="17"/>
  <c r="S17" i="17" a="1"/>
  <c r="S17" i="17"/>
  <c r="T2" i="17" a="1"/>
  <c r="T2" i="17"/>
  <c r="T3" i="17" a="1"/>
  <c r="T3" i="17"/>
  <c r="T4" i="17" a="1"/>
  <c r="T4" i="17"/>
  <c r="T5" i="17" a="1"/>
  <c r="T5" i="17"/>
  <c r="T6" i="17" a="1"/>
  <c r="T6" i="17"/>
  <c r="T7" i="17" a="1"/>
  <c r="T7" i="17"/>
  <c r="T8" i="17" a="1"/>
  <c r="T8" i="17"/>
  <c r="T9" i="17" a="1"/>
  <c r="T9" i="17"/>
  <c r="T10" i="17" a="1"/>
  <c r="T10" i="17"/>
  <c r="T11" i="17" a="1"/>
  <c r="T11" i="17"/>
  <c r="T12" i="17" a="1"/>
  <c r="T12" i="17"/>
  <c r="T13" i="17" a="1"/>
  <c r="T13" i="17"/>
  <c r="T14" i="17" a="1"/>
  <c r="T14" i="17"/>
  <c r="T15" i="17" a="1"/>
  <c r="T15" i="17"/>
  <c r="T16" i="17" a="1"/>
  <c r="T16" i="17"/>
  <c r="T17" i="17" a="1"/>
  <c r="T17" i="17"/>
  <c r="U2" i="17" a="1"/>
  <c r="U2" i="17"/>
  <c r="U3" i="17" a="1"/>
  <c r="U3" i="17"/>
  <c r="U4" i="17" a="1"/>
  <c r="U4" i="17"/>
  <c r="U5" i="17" a="1"/>
  <c r="U5" i="17"/>
  <c r="U6" i="17" a="1"/>
  <c r="U6" i="17"/>
  <c r="U7" i="17" a="1"/>
  <c r="U7" i="17"/>
  <c r="U8" i="17" a="1"/>
  <c r="U8" i="17"/>
  <c r="U9" i="17" a="1"/>
  <c r="U9" i="17"/>
  <c r="U10" i="17" a="1"/>
  <c r="U10" i="17"/>
  <c r="U11" i="17" a="1"/>
  <c r="U11" i="17"/>
  <c r="U12" i="17" a="1"/>
  <c r="U12" i="17"/>
  <c r="U13" i="17" a="1"/>
  <c r="U13" i="17"/>
  <c r="U14" i="17" a="1"/>
  <c r="U14" i="17"/>
  <c r="U15" i="17" a="1"/>
  <c r="U15" i="17"/>
  <c r="U16" i="17" a="1"/>
  <c r="U16" i="17"/>
  <c r="U17" i="17" a="1"/>
  <c r="U17" i="17"/>
  <c r="V2" i="17" a="1"/>
  <c r="V2" i="17"/>
  <c r="V3" i="17" a="1"/>
  <c r="V3" i="17"/>
  <c r="V4" i="17" a="1"/>
  <c r="V4" i="17"/>
  <c r="V5" i="17" a="1"/>
  <c r="V5" i="17"/>
  <c r="V6" i="17" a="1"/>
  <c r="V6" i="17"/>
  <c r="V7" i="17" a="1"/>
  <c r="V7" i="17"/>
  <c r="V8" i="17" a="1"/>
  <c r="V8" i="17"/>
  <c r="V9" i="17" a="1"/>
  <c r="V9" i="17"/>
  <c r="V10" i="17" a="1"/>
  <c r="V10" i="17"/>
  <c r="V11" i="17" a="1"/>
  <c r="V11" i="17"/>
  <c r="V12" i="17" a="1"/>
  <c r="V12" i="17"/>
  <c r="V13" i="17" a="1"/>
  <c r="V13" i="17"/>
  <c r="V14" i="17" a="1"/>
  <c r="V14" i="17"/>
  <c r="V15" i="17" a="1"/>
  <c r="V15" i="17"/>
  <c r="V16" i="17" a="1"/>
  <c r="V16" i="17"/>
  <c r="V17" i="17" a="1"/>
  <c r="V17" i="17"/>
  <c r="W2" i="17"/>
  <c r="W3" i="17"/>
  <c r="W4" i="17"/>
  <c r="W5" i="17"/>
  <c r="W6" i="17"/>
  <c r="W7" i="17"/>
  <c r="W8" i="17"/>
  <c r="W9" i="17"/>
  <c r="W10" i="17"/>
  <c r="W11" i="17"/>
  <c r="W12" i="17"/>
  <c r="W13" i="17"/>
  <c r="W14" i="17"/>
  <c r="W15" i="17"/>
  <c r="W16" i="17"/>
  <c r="W17" i="17"/>
  <c r="X2" i="17" a="1"/>
  <c r="X2" i="17"/>
  <c r="X3" i="17" a="1"/>
  <c r="X3" i="17"/>
  <c r="X4" i="17" a="1"/>
  <c r="X4" i="17"/>
  <c r="X5" i="17" a="1"/>
  <c r="X5" i="17"/>
  <c r="X6" i="17" a="1"/>
  <c r="X6" i="17"/>
  <c r="X7" i="17" a="1"/>
  <c r="X7" i="17"/>
  <c r="X8" i="17" a="1"/>
  <c r="X8" i="17"/>
  <c r="X9" i="17" a="1"/>
  <c r="X9" i="17"/>
  <c r="X10" i="17" a="1"/>
  <c r="X10" i="17"/>
  <c r="X11" i="17" a="1"/>
  <c r="X11" i="17"/>
  <c r="X12" i="17" a="1"/>
  <c r="X12" i="17"/>
  <c r="X13" i="17" a="1"/>
  <c r="X13" i="17"/>
  <c r="X14" i="17" a="1"/>
  <c r="X14" i="17"/>
  <c r="X15" i="17" a="1"/>
  <c r="X15" i="17"/>
  <c r="X16" i="17" a="1"/>
  <c r="X16" i="17"/>
  <c r="X17" i="17" a="1"/>
  <c r="X17" i="17"/>
  <c r="Y2" i="17"/>
  <c r="Y3" i="17"/>
  <c r="Y4" i="17"/>
  <c r="Y5" i="17"/>
  <c r="Y6" i="17"/>
  <c r="Y7" i="17"/>
  <c r="Y8" i="17"/>
  <c r="Y9" i="17"/>
  <c r="Y10" i="17"/>
  <c r="Y11" i="17"/>
  <c r="Y12" i="17"/>
  <c r="Y13" i="17"/>
  <c r="Y14" i="17"/>
  <c r="Y15" i="17"/>
  <c r="Y16" i="17"/>
  <c r="Y17" i="17"/>
  <c r="G2" i="16"/>
  <c r="Q17" i="17" l="1"/>
  <c r="Q16" i="17"/>
  <c r="Q15" i="17"/>
  <c r="Q14" i="17"/>
  <c r="Q13" i="17"/>
  <c r="Q12" i="17"/>
  <c r="Q11" i="17"/>
  <c r="Q10" i="17"/>
  <c r="Q9" i="17"/>
  <c r="Q8" i="17"/>
  <c r="Q7" i="17"/>
  <c r="Q6" i="17"/>
  <c r="Q5" i="17"/>
  <c r="Q4" i="17"/>
  <c r="Q3" i="17"/>
  <c r="Q2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edupa\desktop\mys_p2\modelo_a\modelo_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<sst xmlns="http://schemas.openxmlformats.org/spreadsheetml/2006/main" count="479" uniqueCount="111">
  <si>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</si>
  <si>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</si>
  <si>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</si>
  <si>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</si>
  <si>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</si>
  <si>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</si>
  <si>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</si>
  <si>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</si>
  <si>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</si>
  <si>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</si>
  <si>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</si>
  <si>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</si>
  <si>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</si>
  <si>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</si>
  <si>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</si>
  <si>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</si>
  <si>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</si>
  <si>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</si>
  <si>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</si>
  <si>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</si>
  <si>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</si>
  <si>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</si>
  <si>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</si>
  <si>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</si>
  <si>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</si>
  <si>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</si>
  <si>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</si>
  <si>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</si>
  <si>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</si>
  <si>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</si>
  <si>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</si>
  <si>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</si>
  <si>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</si>
  <si>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</si>
  <si>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</si>
  <si>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</si>
  <si>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</si>
  <si>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</si>
  <si>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</si>
  <si>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</si>
  <si>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</si>
  <si>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</si>
  <si>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</si>
  <si>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</si>
  <si>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</si>
  <si>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</si>
  <si>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</si>
  <si>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</si>
  <si>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</si>
  <si>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</si>
  <si>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</si>
  <si>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</si>
  <si>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</si>
  <si>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</si>
  <si>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</si>
  <si>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</si>
  <si>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</si>
  <si>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</si>
  <si>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</si>
  <si>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</si>
  <si>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</si>
  <si>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</si>
  <si>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</si>
  <si>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</si>
  <si>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</si>
  <si>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</si>
  <si>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</si>
  <si>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</si>
  <si>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C:\Users\Edupa\Desktop\MYS_P2\Modelo_A\Modelo_A.p</t>
  </si>
  <si>
    <t>2024-12-22 14:11:50</t>
  </si>
  <si>
    <t>Caseta A.Queue</t>
  </si>
  <si>
    <t>Waiting Time</t>
  </si>
  <si>
    <t>Queue</t>
  </si>
  <si>
    <t>Caseta B.Queue</t>
  </si>
  <si>
    <t>Caseta C.Queue</t>
  </si>
  <si>
    <t>Caseta D.Queue</t>
  </si>
  <si>
    <t>Caseta E.Queue</t>
  </si>
  <si>
    <t>Cola Caseta A.Queue</t>
  </si>
  <si>
    <t>Cola Caseta B.Queue</t>
  </si>
  <si>
    <t>Cola Caseta C.Queue</t>
  </si>
  <si>
    <t>Cola Caseta D.Queue</t>
  </si>
  <si>
    <t>Cola Caseta E.Queue</t>
  </si>
  <si>
    <t>Vehículo</t>
  </si>
  <si>
    <t>NVA Time</t>
  </si>
  <si>
    <t>Entity</t>
  </si>
  <si>
    <t>Other Time</t>
  </si>
  <si>
    <t>Total Time</t>
  </si>
  <si>
    <t>Transfer Time</t>
  </si>
  <si>
    <t>VA Time</t>
  </si>
  <si>
    <t>Wait Time</t>
  </si>
  <si>
    <t>Agente</t>
  </si>
  <si>
    <t>Instantaneous Utilization</t>
  </si>
  <si>
    <t>Resource</t>
  </si>
  <si>
    <t>Number Busy</t>
  </si>
  <si>
    <t>Number Scheduled</t>
  </si>
  <si>
    <t>Number Waiting</t>
  </si>
  <si>
    <t>PC</t>
  </si>
  <si>
    <t>WIP</t>
  </si>
  <si>
    <t>Agente.NumberSeized</t>
  </si>
  <si>
    <t>Total Number Seized</t>
  </si>
  <si>
    <t>Agente.ScheduledUtilization</t>
  </si>
  <si>
    <t>Scheduled Utilization</t>
  </si>
  <si>
    <t>PC.NumberSeized</t>
  </si>
  <si>
    <t>PC.ScheduledUtilization</t>
  </si>
  <si>
    <t>System.NumberOut</t>
  </si>
  <si>
    <t>Number Out</t>
  </si>
  <si>
    <t>System</t>
  </si>
  <si>
    <t>Vehículo.NumberIn</t>
  </si>
  <si>
    <t>Number In</t>
  </si>
  <si>
    <t>Vehículo.NumberOut</t>
  </si>
  <si>
    <t>(en blanco)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</si>
</sst>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4]&quot;Days&quot;;;"/>
    </dxf>
    <dxf>
      <numFmt numFmtId="172" formatCode="[=1]&quot;Seconds&quot;;;"/>
    </dxf>
    <dxf>
      <numFmt numFmtId="173" formatCode="[=2]&quot;Minutes&quot;;;"/>
    </dxf>
    <dxf>
      <numFmt numFmtId="174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1663657404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1663657404" createdVersion="7" refreshedVersion="8" minRefreshableVersion="3" recordCount="17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gente"/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PC"/>
        <s v="Vehículo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Instantaneous Utilization"/>
        <s v="Number Busy"/>
        <s v="Number Scheduled"/>
        <s v="Number Waiting"/>
        <s v="WIP"/>
        <m u="1"/>
        <s v="Levels" u="1"/>
      </sharedItems>
    </cacheField>
    <cacheField name="Source" numFmtId="0">
      <sharedItems containsBlank="1" count="5">
        <s v="Resource"/>
        <s v="Queue"/>
        <s v="Entity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minValue="3.7154526183289E-3" maxValue="3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12"/>
    </cacheField>
    <cacheField name="LastRecordedValue" numFmtId="0">
      <sharedItems containsSemiMixedTypes="0" containsString="0" containsNumber="1" containsInteg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0" maxValue="3"/>
    </cacheField>
    <cacheField name="SummaryHalfWidth" numFmtId="0">
      <sharedItems containsSemiMixedTypes="0" containsString="0" containsNumber="1" minValue="3.7154526183289E-3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1665046297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1666550928" createdVersion="7" refreshedVersion="8" minRefreshableVersion="3" recordCount="16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10">
        <s v="Caseta A.Queue"/>
        <s v="Caseta B.Queue"/>
        <s v="Caseta C.Queue"/>
        <s v="Caseta D.Queue"/>
        <s v="Caseta E.Queue"/>
        <s v="Cola Caseta A.Queue"/>
        <s v="Cola Caseta B.Queue"/>
        <s v="Cola Caseta C.Queue"/>
        <s v="Cola Caseta D.Queue"/>
        <s v="Cola Caseta E.Queue"/>
        <s v="Vehículo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3.4487692592745603E-2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2.6106532072731201E-2"/>
    </cacheField>
    <cacheField name="Maximum" numFmtId="0">
      <sharedItems containsSemiMixedTypes="0" containsString="0" containsNumber="1" minValue="0" maxValue="0.22945159607183299"/>
    </cacheField>
    <cacheField name="NumberObservations" numFmtId="0">
      <sharedItems containsSemiMixedTypes="0" containsString="0" containsNumber="1" containsInteger="1" minValue="2" maxValue="6985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3.4487692592745603E-2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3.4487692592745603E-2"/>
    </cacheField>
    <cacheField name="MaximumAverage" numFmtId="0">
      <sharedItems containsSemiMixedTypes="0" containsString="0" containsNumber="1" minValue="0" maxValue="3.4487692592745603E-2"/>
    </cacheField>
    <cacheField name="OverallMinimum" numFmtId="0">
      <sharedItems containsSemiMixedTypes="0" containsString="0" containsNumber="1" minValue="0" maxValue="2.6106532072731201E-2"/>
    </cacheField>
    <cacheField name="OverallMaximum" numFmtId="0">
      <sharedItems containsSemiMixedTypes="0" containsString="0" containsNumber="1" minValue="0" maxValue="0.22945159607183299"/>
    </cacheField>
    <cacheField name="AverageNumberObservations" numFmtId="0">
      <sharedItems containsSemiMixedTypes="0" containsString="0" containsNumber="1" containsInteger="1" minValue="2" maxValue="6985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uardo palou" refreshedDate="45648.591666550928" createdVersion="7" refreshedVersion="8" minRefreshableVersion="3" recordCount="7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5">
        <s v="Agente.NumberSeized"/>
        <s v="Agente.ScheduledUtilization"/>
        <s v="PC.NumberSeized"/>
        <s v="PC.ScheduledUtilization"/>
        <s v="System.NumberOut"/>
        <s v="Vehículo.NumberIn"/>
        <s v="Vehículo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Total Number Seized"/>
        <s v="Scheduled Utilization"/>
        <s v="Number Out"/>
        <s v="Number In"/>
        <m u="1"/>
        <s v="Accum VA Time" u="1"/>
        <s v="Accum Wait Time" u="1"/>
      </sharedItems>
    </cacheField>
    <cacheField name="Source" numFmtId="0">
      <sharedItems containsBlank="1" count="5">
        <s v="Resource"/>
        <s v="System"/>
        <s v="Entity"/>
        <m u="1"/>
        <s v="Process" u="1"/>
      </sharedItems>
    </cacheField>
    <cacheField name="RecordedValue" numFmtId="0">
      <sharedItems containsSemiMixedTypes="0" containsString="0" containsNumber="1" minValue="7.4315924000492306E-2" maxValue="14415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7.4315924000492306E-2" maxValue="14415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7.4315924000492306E-2" maxValue="14415"/>
    </cacheField>
    <cacheField name="Maximum" numFmtId="0">
      <sharedItems containsSemiMixedTypes="0" containsString="0" containsNumber="1" minValue="7.4315924000492306E-2" maxValue="1441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x v="0"/>
    <s v="2024-12-22 14:11:50"/>
    <n v="1"/>
    <x v="0"/>
    <x v="0"/>
    <x v="0"/>
    <n v="7.4315924000492403E-2"/>
    <n v="3E+20"/>
    <n v="0"/>
    <n v="1"/>
    <n v="0"/>
    <n v="0"/>
    <s v="Unnamed ProjectAgenteInstantaneous UtilizationResource"/>
    <n v="1"/>
    <n v="7.4315924000492403E-2"/>
    <n v="0"/>
    <n v="0.95"/>
    <n v="4E+20"/>
    <n v="7.4315924000492403E-2"/>
    <n v="7.4315924000492403E-2"/>
    <n v="3E+20"/>
  </r>
  <r>
    <x v="0"/>
    <s v="2024-12-22 14:11:50"/>
    <n v="1"/>
    <x v="0"/>
    <x v="1"/>
    <x v="0"/>
    <n v="0.222947772001477"/>
    <n v="3E+20"/>
    <n v="0"/>
    <n v="3"/>
    <n v="0"/>
    <n v="0"/>
    <s v="Unnamed ProjectAgenteNumber BusyResource"/>
    <n v="1"/>
    <n v="0.222947772001477"/>
    <n v="0"/>
    <n v="0.95"/>
    <n v="4E+20"/>
    <n v="0.222947772001477"/>
    <n v="0.222947772001477"/>
    <n v="3E+20"/>
  </r>
  <r>
    <x v="0"/>
    <s v="2024-12-22 14:11:50"/>
    <n v="1"/>
    <x v="0"/>
    <x v="2"/>
    <x v="0"/>
    <n v="3"/>
    <n v="2E+20"/>
    <n v="3"/>
    <n v="3"/>
    <n v="3"/>
    <n v="0"/>
    <s v="Unnamed ProjectAgenteNumber ScheduledResource"/>
    <n v="1"/>
    <n v="3"/>
    <n v="0"/>
    <n v="0.95"/>
    <n v="4E+20"/>
    <n v="3"/>
    <n v="3"/>
    <n v="2E+20"/>
  </r>
  <r>
    <x v="0"/>
    <s v="2024-12-22 14:11:50"/>
    <n v="1"/>
    <x v="1"/>
    <x v="3"/>
    <x v="1"/>
    <n v="3.8036367777466401E-3"/>
    <n v="2E+20"/>
    <n v="0"/>
    <n v="1"/>
    <n v="0"/>
    <n v="0"/>
    <s v="Unnamed ProjectCaseta A.QueueNumber WaitingQueue"/>
    <n v="1"/>
    <n v="3.8036367777466401E-3"/>
    <n v="0"/>
    <n v="0.95"/>
    <n v="4E+20"/>
    <n v="3.8036367777466401E-3"/>
    <n v="3.8036367777466401E-3"/>
    <n v="2E+20"/>
  </r>
  <r>
    <x v="0"/>
    <s v="2024-12-22 14:11:50"/>
    <n v="1"/>
    <x v="2"/>
    <x v="3"/>
    <x v="1"/>
    <n v="5.6668152606314701E-4"/>
    <n v="2E+20"/>
    <n v="0"/>
    <n v="1"/>
    <n v="0"/>
    <n v="0"/>
    <s v="Unnamed ProjectCaseta B.QueueNumber WaitingQueue"/>
    <n v="1"/>
    <n v="5.6668152606314701E-4"/>
    <n v="0"/>
    <n v="0.95"/>
    <n v="4E+20"/>
    <n v="5.6668152606314701E-4"/>
    <n v="5.6668152606314701E-4"/>
    <n v="2E+20"/>
  </r>
  <r>
    <x v="0"/>
    <s v="2024-12-22 14:11:50"/>
    <n v="1"/>
    <x v="3"/>
    <x v="3"/>
    <x v="1"/>
    <n v="1.17926674618355E-4"/>
    <n v="2E+20"/>
    <n v="0"/>
    <n v="1"/>
    <n v="0"/>
    <n v="0"/>
    <s v="Unnamed ProjectCaseta C.QueueNumber WaitingQueue"/>
    <n v="1"/>
    <n v="1.17926674618355E-4"/>
    <n v="0"/>
    <n v="0.95"/>
    <n v="4E+20"/>
    <n v="1.17926674618355E-4"/>
    <n v="1.17926674618355E-4"/>
    <n v="2E+20"/>
  </r>
  <r>
    <x v="0"/>
    <s v="2024-12-22 14:11:50"/>
    <n v="1"/>
    <x v="4"/>
    <x v="3"/>
    <x v="1"/>
    <n v="1.58574390914475E-2"/>
    <n v="3.7154526183289E-3"/>
    <n v="0"/>
    <n v="1"/>
    <n v="0"/>
    <n v="0"/>
    <s v="Unnamed ProjectCaseta D.QueueNumber WaitingQueue"/>
    <n v="1"/>
    <n v="1.58574390914475E-2"/>
    <n v="0"/>
    <n v="0.95"/>
    <n v="4E+20"/>
    <n v="1.58574390914475E-2"/>
    <n v="1.58574390914475E-2"/>
    <n v="3.7154526183289E-3"/>
  </r>
  <r>
    <x v="0"/>
    <s v="2024-12-22 14:11:50"/>
    <n v="1"/>
    <x v="5"/>
    <x v="3"/>
    <x v="1"/>
    <n v="5.2324366624059903E-3"/>
    <n v="2E+20"/>
    <n v="0"/>
    <n v="1"/>
    <n v="0"/>
    <n v="0"/>
    <s v="Unnamed ProjectCaseta E.QueueNumber WaitingQueue"/>
    <n v="1"/>
    <n v="5.2324366624059903E-3"/>
    <n v="0"/>
    <n v="0.95"/>
    <n v="4E+20"/>
    <n v="5.2324366624059903E-3"/>
    <n v="5.2324366624059903E-3"/>
    <n v="2E+20"/>
  </r>
  <r>
    <x v="0"/>
    <s v="2024-12-22 14:11:50"/>
    <n v="1"/>
    <x v="6"/>
    <x v="3"/>
    <x v="1"/>
    <n v="8.12156224165224E-4"/>
    <n v="2E+20"/>
    <n v="0"/>
    <n v="1"/>
    <n v="0"/>
    <n v="0"/>
    <s v="Unnamed ProjectCola Caseta A.QueueNumber WaitingQueue"/>
    <n v="1"/>
    <n v="8.12156224165224E-4"/>
    <n v="0"/>
    <n v="0.95"/>
    <n v="4E+20"/>
    <n v="8.12156224165224E-4"/>
    <n v="8.12156224165224E-4"/>
    <n v="2E+20"/>
  </r>
  <r>
    <x v="0"/>
    <s v="2024-12-22 14:11:50"/>
    <n v="1"/>
    <x v="7"/>
    <x v="3"/>
    <x v="1"/>
    <n v="2.8622645297282602E-4"/>
    <n v="2E+20"/>
    <n v="0"/>
    <n v="1"/>
    <n v="0"/>
    <n v="0"/>
    <s v="Unnamed ProjectCola Caseta B.QueueNumber WaitingQueue"/>
    <n v="1"/>
    <n v="2.8622645297282602E-4"/>
    <n v="0"/>
    <n v="0.95"/>
    <n v="4E+20"/>
    <n v="2.8622645297282602E-4"/>
    <n v="2.8622645297282602E-4"/>
    <n v="2E+20"/>
  </r>
  <r>
    <x v="0"/>
    <s v="2024-12-22 14:11:50"/>
    <n v="1"/>
    <x v="8"/>
    <x v="3"/>
    <x v="1"/>
    <n v="0"/>
    <n v="2E+20"/>
    <n v="0"/>
    <n v="0"/>
    <n v="0"/>
    <n v="0"/>
    <s v="Unnamed ProjectCola Caseta C.QueueNumber WaitingQueue"/>
    <n v="1"/>
    <n v="0"/>
    <n v="0"/>
    <n v="0.95"/>
    <n v="4E+20"/>
    <n v="0"/>
    <n v="0"/>
    <n v="2E+20"/>
  </r>
  <r>
    <x v="0"/>
    <s v="2024-12-22 14:11:50"/>
    <n v="1"/>
    <x v="9"/>
    <x v="3"/>
    <x v="1"/>
    <n v="6.7567961293615404E-3"/>
    <n v="2E+20"/>
    <n v="0"/>
    <n v="4"/>
    <n v="0"/>
    <n v="0"/>
    <s v="Unnamed ProjectCola Caseta D.QueueNumber WaitingQueue"/>
    <n v="1"/>
    <n v="6.7567961293615404E-3"/>
    <n v="0"/>
    <n v="0.95"/>
    <n v="4E+20"/>
    <n v="6.7567961293615404E-3"/>
    <n v="6.7567961293615404E-3"/>
    <n v="2E+20"/>
  </r>
  <r>
    <x v="0"/>
    <s v="2024-12-22 14:11:50"/>
    <n v="1"/>
    <x v="10"/>
    <x v="3"/>
    <x v="1"/>
    <n v="5.7294227389085997E-4"/>
    <n v="2E+20"/>
    <n v="0"/>
    <n v="1"/>
    <n v="0"/>
    <n v="0"/>
    <s v="Unnamed ProjectCola Caseta E.QueueNumber WaitingQueue"/>
    <n v="1"/>
    <n v="5.7294227389085997E-4"/>
    <n v="0"/>
    <n v="0.95"/>
    <n v="4E+20"/>
    <n v="5.7294227389085997E-4"/>
    <n v="5.7294227389085997E-4"/>
    <n v="2E+20"/>
  </r>
  <r>
    <x v="0"/>
    <s v="2024-12-22 14:11:50"/>
    <n v="1"/>
    <x v="11"/>
    <x v="0"/>
    <x v="0"/>
    <n v="0.122456881384934"/>
    <n v="1.13595832386104E-2"/>
    <n v="0"/>
    <n v="1"/>
    <n v="0"/>
    <n v="0"/>
    <s v="Unnamed ProjectPCInstantaneous UtilizationResource"/>
    <n v="1"/>
    <n v="0.122456881384934"/>
    <n v="0"/>
    <n v="0.95"/>
    <n v="4E+20"/>
    <n v="0.122456881384934"/>
    <n v="0.122456881384934"/>
    <n v="1.13595832386104E-2"/>
  </r>
  <r>
    <x v="0"/>
    <s v="2024-12-22 14:11:50"/>
    <n v="1"/>
    <x v="11"/>
    <x v="1"/>
    <x v="0"/>
    <n v="0.24491376276986701"/>
    <n v="2.2719166477220699E-2"/>
    <n v="0"/>
    <n v="2"/>
    <n v="0"/>
    <n v="0"/>
    <s v="Unnamed ProjectPCNumber BusyResource"/>
    <n v="1"/>
    <n v="0.24491376276986701"/>
    <n v="0"/>
    <n v="0.95"/>
    <n v="4E+20"/>
    <n v="0.24491376276986701"/>
    <n v="0.24491376276986701"/>
    <n v="2.2719166477220699E-2"/>
  </r>
  <r>
    <x v="0"/>
    <s v="2024-12-22 14:11:50"/>
    <n v="1"/>
    <x v="11"/>
    <x v="2"/>
    <x v="0"/>
    <n v="2"/>
    <n v="2E+20"/>
    <n v="2"/>
    <n v="2"/>
    <n v="2"/>
    <n v="0"/>
    <s v="Unnamed ProjectPCNumber ScheduledResource"/>
    <n v="1"/>
    <n v="2"/>
    <n v="0"/>
    <n v="0.95"/>
    <n v="4E+20"/>
    <n v="2"/>
    <n v="2"/>
    <n v="2E+20"/>
  </r>
  <r>
    <x v="0"/>
    <s v="2024-12-22 14:11:50"/>
    <n v="1"/>
    <x v="12"/>
    <x v="4"/>
    <x v="2"/>
    <n v="0.50186777658401804"/>
    <n v="4.7921332126201401E-2"/>
    <n v="0"/>
    <n v="12"/>
    <n v="0"/>
    <n v="0"/>
    <s v="Unnamed ProjectVehículoWIPEntity"/>
    <n v="1"/>
    <n v="0.50186777658401804"/>
    <n v="0"/>
    <n v="0.95"/>
    <n v="4E+20"/>
    <n v="0.50186777658401804"/>
    <n v="0.50186777658401804"/>
    <n v="4.7921332126201401E-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">
  <r>
    <x v="0"/>
    <s v="2024-12-22 14:11:50"/>
    <n v="1"/>
    <x v="0"/>
    <x v="0"/>
    <x v="0"/>
    <n v="5.8181824516201103E-4"/>
    <n v="1.5556382873259701E-4"/>
    <n v="0"/>
    <n v="6.05918781145647E-2"/>
    <n v="3138"/>
    <s v="Unnamed ProjectCaseta A.QueueWaiting TimeQueue"/>
    <n v="1"/>
    <n v="5.8181824516201103E-4"/>
    <n v="0"/>
    <n v="0.95"/>
    <n v="4E+20"/>
    <n v="5.8181824516201103E-4"/>
    <n v="5.8181824516201103E-4"/>
    <n v="0"/>
    <n v="6.05918781145647E-2"/>
    <n v="3138"/>
    <n v="1.5556382873259701E-4"/>
    <n v="1"/>
    <n v="1"/>
  </r>
  <r>
    <x v="0"/>
    <s v="2024-12-22 14:11:50"/>
    <n v="1"/>
    <x v="1"/>
    <x v="0"/>
    <x v="0"/>
    <n v="2.72007132510311E-2"/>
    <n v="2E+20"/>
    <n v="1.90555660162772E-3"/>
    <n v="7.0654119307221194E-2"/>
    <n v="10"/>
    <s v="Unnamed ProjectCaseta B.QueueWaiting TimeQueue"/>
    <n v="1"/>
    <n v="2.72007132510311E-2"/>
    <n v="0"/>
    <n v="0.95"/>
    <n v="4E+20"/>
    <n v="2.72007132510311E-2"/>
    <n v="2.72007132510311E-2"/>
    <n v="1.90555660162772E-3"/>
    <n v="7.0654119307221194E-2"/>
    <n v="10"/>
    <n v="2E+20"/>
    <n v="1"/>
    <n v="1"/>
  </r>
  <r>
    <x v="0"/>
    <s v="2024-12-22 14:11:50"/>
    <n v="1"/>
    <x v="2"/>
    <x v="0"/>
    <x v="0"/>
    <n v="2.83024019084053E-2"/>
    <n v="2E+20"/>
    <n v="2.6106532072731201E-2"/>
    <n v="3.0498271744079399E-2"/>
    <n v="2"/>
    <s v="Unnamed ProjectCaseta C.QueueWaiting TimeQueue"/>
    <n v="1"/>
    <n v="2.83024019084053E-2"/>
    <n v="0"/>
    <n v="0.95"/>
    <n v="4E+20"/>
    <n v="2.83024019084053E-2"/>
    <n v="2.83024019084053E-2"/>
    <n v="2.6106532072731201E-2"/>
    <n v="3.0498271744079399E-2"/>
    <n v="2"/>
    <n v="2E+20"/>
    <n v="1"/>
    <n v="1"/>
  </r>
  <r>
    <x v="0"/>
    <s v="2024-12-22 14:11:50"/>
    <n v="1"/>
    <x v="3"/>
    <x v="0"/>
    <x v="0"/>
    <n v="2.41713901679733E-3"/>
    <n v="3E+20"/>
    <n v="0"/>
    <n v="0.11376693282449001"/>
    <n v="3149"/>
    <s v="Unnamed ProjectCaseta D.QueueWaiting TimeQueue"/>
    <n v="1"/>
    <n v="2.41713901679733E-3"/>
    <n v="0"/>
    <n v="0.95"/>
    <n v="4E+20"/>
    <n v="2.41713901679733E-3"/>
    <n v="2.41713901679733E-3"/>
    <n v="0"/>
    <n v="0.11376693282449001"/>
    <n v="3149"/>
    <n v="3E+20"/>
    <n v="1"/>
    <n v="1"/>
  </r>
  <r>
    <x v="0"/>
    <s v="2024-12-22 14:11:50"/>
    <n v="1"/>
    <x v="4"/>
    <x v="0"/>
    <x v="0"/>
    <n v="3.6611801719458798E-3"/>
    <n v="1.00317218483921E-3"/>
    <n v="0"/>
    <n v="9.2745178476491205E-2"/>
    <n v="686"/>
    <s v="Unnamed ProjectCaseta E.QueueWaiting TimeQueue"/>
    <n v="1"/>
    <n v="3.6611801719458798E-3"/>
    <n v="0"/>
    <n v="0.95"/>
    <n v="4E+20"/>
    <n v="3.6611801719458798E-3"/>
    <n v="3.6611801719458798E-3"/>
    <n v="0"/>
    <n v="9.2745178476491205E-2"/>
    <n v="686"/>
    <n v="1.00317218483921E-3"/>
    <n v="1"/>
    <n v="1"/>
  </r>
  <r>
    <x v="0"/>
    <s v="2024-12-22 14:11:50"/>
    <n v="1"/>
    <x v="5"/>
    <x v="0"/>
    <x v="0"/>
    <n v="1.2423039757785399E-4"/>
    <n v="7.4015189011421696E-5"/>
    <n v="0"/>
    <n v="3.53881484084013E-2"/>
    <n v="3138"/>
    <s v="Unnamed ProjectCola Caseta A.QueueWaiting TimeQueue"/>
    <n v="1"/>
    <n v="1.2423039757785399E-4"/>
    <n v="0"/>
    <n v="0.95"/>
    <n v="4E+20"/>
    <n v="1.2423039757785399E-4"/>
    <n v="1.2423039757785399E-4"/>
    <n v="0"/>
    <n v="3.53881484084013E-2"/>
    <n v="3138"/>
    <n v="7.4015189011421696E-5"/>
    <n v="1"/>
    <n v="1"/>
  </r>
  <r>
    <x v="0"/>
    <s v="2024-12-22 14:11:50"/>
    <n v="1"/>
    <x v="6"/>
    <x v="0"/>
    <x v="0"/>
    <n v="1.3738869742695701E-2"/>
    <n v="2E+20"/>
    <n v="0"/>
    <n v="6.9340207782545293E-2"/>
    <n v="10"/>
    <s v="Unnamed ProjectCola Caseta B.QueueWaiting TimeQueue"/>
    <n v="1"/>
    <n v="1.3738869742695701E-2"/>
    <n v="0"/>
    <n v="0.95"/>
    <n v="4E+20"/>
    <n v="1.3738869742695701E-2"/>
    <n v="1.3738869742695701E-2"/>
    <n v="0"/>
    <n v="6.9340207782545293E-2"/>
    <n v="10"/>
    <n v="2E+20"/>
    <n v="1"/>
    <n v="1"/>
  </r>
  <r>
    <x v="0"/>
    <s v="2024-12-22 14:11:50"/>
    <n v="1"/>
    <x v="7"/>
    <x v="0"/>
    <x v="0"/>
    <n v="0"/>
    <n v="2E+20"/>
    <n v="0"/>
    <n v="0"/>
    <n v="2"/>
    <s v="Unnamed ProjectCola Caseta C.QueueWaiting TimeQueue"/>
    <n v="1"/>
    <n v="0"/>
    <n v="0"/>
    <n v="0.95"/>
    <n v="4E+20"/>
    <n v="0"/>
    <n v="0"/>
    <n v="0"/>
    <n v="0"/>
    <n v="2"/>
    <n v="2E+20"/>
    <n v="1"/>
    <n v="1"/>
  </r>
  <r>
    <x v="0"/>
    <s v="2024-12-22 14:11:50"/>
    <n v="1"/>
    <x v="8"/>
    <x v="0"/>
    <x v="0"/>
    <n v="1.02993399240824E-3"/>
    <n v="3E+20"/>
    <n v="0"/>
    <n v="0.137834060403803"/>
    <n v="3149"/>
    <s v="Unnamed ProjectCola Caseta D.QueueWaiting TimeQueue"/>
    <n v="1"/>
    <n v="1.02993399240824E-3"/>
    <n v="0"/>
    <n v="0.95"/>
    <n v="4E+20"/>
    <n v="1.02993399240824E-3"/>
    <n v="1.02993399240824E-3"/>
    <n v="0"/>
    <n v="0.137834060403803"/>
    <n v="3149"/>
    <n v="3E+20"/>
    <n v="1"/>
    <n v="1"/>
  </r>
  <r>
    <x v="0"/>
    <s v="2024-12-22 14:11:50"/>
    <n v="1"/>
    <x v="9"/>
    <x v="0"/>
    <x v="0"/>
    <n v="4.0089255315978601E-4"/>
    <n v="3.1842510007756901E-4"/>
    <n v="0"/>
    <n v="8.2687593132767703E-2"/>
    <n v="686"/>
    <s v="Unnamed ProjectCola Caseta E.QueueWaiting TimeQueue"/>
    <n v="1"/>
    <n v="4.0089255315978601E-4"/>
    <n v="0"/>
    <n v="0.95"/>
    <n v="4E+20"/>
    <n v="4.0089255315978601E-4"/>
    <n v="4.0089255315978601E-4"/>
    <n v="0"/>
    <n v="8.2687593132767703E-2"/>
    <n v="686"/>
    <n v="3.1842510007756901E-4"/>
    <n v="1"/>
    <n v="1"/>
  </r>
  <r>
    <x v="0"/>
    <s v="2024-12-22 14:11:50"/>
    <n v="1"/>
    <x v="10"/>
    <x v="1"/>
    <x v="1"/>
    <n v="0"/>
    <n v="0"/>
    <n v="0"/>
    <n v="0"/>
    <n v="6985"/>
    <s v="Unnamed ProjectVehículoNVA TimeEntity"/>
    <n v="1"/>
    <n v="0"/>
    <n v="0"/>
    <n v="0.95"/>
    <n v="4E+20"/>
    <n v="0"/>
    <n v="0"/>
    <n v="0"/>
    <n v="0"/>
    <n v="6985"/>
    <n v="0"/>
    <n v="1"/>
    <n v="1"/>
  </r>
  <r>
    <x v="0"/>
    <s v="2024-12-22 14:11:50"/>
    <n v="1"/>
    <x v="10"/>
    <x v="2"/>
    <x v="1"/>
    <n v="0"/>
    <n v="0"/>
    <n v="0"/>
    <n v="0"/>
    <n v="6985"/>
    <s v="Unnamed ProjectVehículoOther TimeEntity"/>
    <n v="1"/>
    <n v="0"/>
    <n v="0"/>
    <n v="0.95"/>
    <n v="4E+20"/>
    <n v="0"/>
    <n v="0"/>
    <n v="0"/>
    <n v="0"/>
    <n v="6985"/>
    <n v="0"/>
    <n v="1"/>
    <n v="1"/>
  </r>
  <r>
    <x v="0"/>
    <s v="2024-12-22 14:11:50"/>
    <n v="1"/>
    <x v="10"/>
    <x v="3"/>
    <x v="1"/>
    <n v="3.4487692592745603E-2"/>
    <n v="8.3020312716949895E-4"/>
    <n v="0"/>
    <n v="0.22945159607183299"/>
    <n v="6985"/>
    <s v="Unnamed ProjectVehículoTotal TimeEntity"/>
    <n v="1"/>
    <n v="3.4487692592745603E-2"/>
    <n v="0"/>
    <n v="0.95"/>
    <n v="4E+20"/>
    <n v="3.4487692592745603E-2"/>
    <n v="3.4487692592745603E-2"/>
    <n v="0"/>
    <n v="0.22945159607183299"/>
    <n v="6985"/>
    <n v="8.3020312716949895E-4"/>
    <n v="1"/>
    <n v="1"/>
  </r>
  <r>
    <x v="0"/>
    <s v="2024-12-22 14:11:50"/>
    <n v="1"/>
    <x v="10"/>
    <x v="4"/>
    <x v="1"/>
    <n v="0"/>
    <n v="0"/>
    <n v="0"/>
    <n v="0"/>
    <n v="6985"/>
    <s v="Unnamed ProjectVehículoTransfer TimeEntity"/>
    <n v="1"/>
    <n v="0"/>
    <n v="0"/>
    <n v="0.95"/>
    <n v="4E+20"/>
    <n v="0"/>
    <n v="0"/>
    <n v="0"/>
    <n v="0"/>
    <n v="6985"/>
    <n v="0"/>
    <n v="1"/>
    <n v="1"/>
  </r>
  <r>
    <x v="0"/>
    <s v="2024-12-22 14:11:50"/>
    <n v="1"/>
    <x v="10"/>
    <x v="5"/>
    <x v="1"/>
    <n v="3.21508284452749E-2"/>
    <n v="5.0897841948417905E-4"/>
    <n v="0"/>
    <n v="0.16306408188452801"/>
    <n v="6985"/>
    <s v="Unnamed ProjectVehículoVA TimeEntity"/>
    <n v="1"/>
    <n v="3.21508284452749E-2"/>
    <n v="0"/>
    <n v="0.95"/>
    <n v="4E+20"/>
    <n v="3.21508284452749E-2"/>
    <n v="3.21508284452749E-2"/>
    <n v="0"/>
    <n v="0.16306408188452801"/>
    <n v="6985"/>
    <n v="5.0897841948417905E-4"/>
    <n v="1"/>
    <n v="1"/>
  </r>
  <r>
    <x v="0"/>
    <s v="2024-12-22 14:11:50"/>
    <n v="1"/>
    <x v="10"/>
    <x v="6"/>
    <x v="1"/>
    <n v="2.3368641474706699E-3"/>
    <n v="5.3303893752086303E-4"/>
    <n v="0"/>
    <n v="0.154728133533414"/>
    <n v="6985"/>
    <s v="Unnamed ProjectVehículoWait TimeEntity"/>
    <n v="1"/>
    <n v="2.3368641474706699E-3"/>
    <n v="0"/>
    <n v="0.95"/>
    <n v="4E+20"/>
    <n v="2.3368641474706699E-3"/>
    <n v="2.3368641474706699E-3"/>
    <n v="0"/>
    <n v="0.154728133533414"/>
    <n v="6985"/>
    <n v="5.3303893752086303E-4"/>
    <n v="1"/>
    <n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s v="2024-12-22 14:11:50"/>
    <n v="1"/>
    <x v="0"/>
    <x v="0"/>
    <x v="0"/>
    <n v="3150"/>
    <n v="0"/>
    <s v="Unnamed ProjectAgente.NumberSeizedTotal Number SeizedResource"/>
    <n v="1"/>
    <n v="3150"/>
    <n v="0"/>
    <n v="0.95"/>
    <n v="4E+20"/>
    <n v="3150"/>
    <n v="3150"/>
  </r>
  <r>
    <x v="0"/>
    <s v="2024-12-22 14:11:50"/>
    <n v="1"/>
    <x v="1"/>
    <x v="1"/>
    <x v="0"/>
    <n v="7.4315924000492306E-2"/>
    <n v="0"/>
    <s v="Unnamed ProjectAgente.ScheduledUtilizationScheduled UtilizationResource"/>
    <n v="1"/>
    <n v="7.4315924000492306E-2"/>
    <n v="0"/>
    <n v="0.95"/>
    <n v="4E+20"/>
    <n v="7.4315924000492306E-2"/>
    <n v="7.4315924000492306E-2"/>
  </r>
  <r>
    <x v="0"/>
    <s v="2024-12-22 14:11:50"/>
    <n v="1"/>
    <x v="2"/>
    <x v="0"/>
    <x v="0"/>
    <n v="3835"/>
    <n v="0"/>
    <s v="Unnamed ProjectPC.NumberSeizedTotal Number SeizedResource"/>
    <n v="1"/>
    <n v="3835"/>
    <n v="0"/>
    <n v="0.95"/>
    <n v="4E+20"/>
    <n v="3835"/>
    <n v="3835"/>
  </r>
  <r>
    <x v="0"/>
    <s v="2024-12-22 14:11:50"/>
    <n v="1"/>
    <x v="3"/>
    <x v="1"/>
    <x v="0"/>
    <n v="0.122456881384934"/>
    <n v="0"/>
    <s v="Unnamed ProjectPC.ScheduledUtilizationScheduled UtilizationResource"/>
    <n v="1"/>
    <n v="0.122456881384934"/>
    <n v="0"/>
    <n v="0.95"/>
    <n v="4E+20"/>
    <n v="0.122456881384934"/>
    <n v="0.122456881384934"/>
  </r>
  <r>
    <x v="0"/>
    <s v="2024-12-22 14:11:50"/>
    <n v="1"/>
    <x v="4"/>
    <x v="2"/>
    <x v="1"/>
    <n v="6985"/>
    <n v="0"/>
    <s v="Unnamed ProjectSystem.NumberOutNumber OutSystem"/>
    <n v="1"/>
    <n v="6985"/>
    <n v="0"/>
    <n v="0.95"/>
    <n v="4E+20"/>
    <n v="6985"/>
    <n v="6985"/>
  </r>
  <r>
    <x v="0"/>
    <s v="2024-12-22 14:11:50"/>
    <n v="1"/>
    <x v="5"/>
    <x v="3"/>
    <x v="2"/>
    <n v="14415"/>
    <n v="0"/>
    <s v="Unnamed ProjectVehículo.NumberInNumber InEntity"/>
    <n v="1"/>
    <n v="14415"/>
    <n v="0"/>
    <n v="0.95"/>
    <n v="4E+20"/>
    <n v="14415"/>
    <n v="14415"/>
  </r>
  <r>
    <x v="0"/>
    <s v="2024-12-22 14:11:50"/>
    <n v="1"/>
    <x v="6"/>
    <x v="2"/>
    <x v="2"/>
    <n v="14415"/>
    <n v="0"/>
    <s v="Unnamed ProjectVehículo.NumberOutNumber OutEntity"/>
    <n v="1"/>
    <n v="14415"/>
    <n v="0"/>
    <n v="0.95"/>
    <n v="4E+20"/>
    <n v="14415"/>
    <n v="1441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19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0"/>
        <item x="1"/>
        <item x="2"/>
        <item x="3"/>
        <item x="4"/>
        <item m="1" x="6"/>
        <item m="1" x="5"/>
      </items>
    </pivotField>
    <pivotField axis="axisRow" compact="0" outline="0" showAll="0" defaultSubtotal="0">
      <items count="5">
        <item x="2"/>
        <item x="1"/>
        <item x="0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7">
    <i>
      <x v="3"/>
      <x v="124"/>
      <x/>
      <x v="2"/>
    </i>
    <i r="2">
      <x v="1"/>
      <x v="2"/>
    </i>
    <i r="2">
      <x v="2"/>
      <x v="2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3"/>
      <x v="1"/>
    </i>
    <i r="1">
      <x v="133"/>
      <x v="3"/>
      <x v="1"/>
    </i>
    <i r="1">
      <x v="134"/>
      <x v="3"/>
      <x v="1"/>
    </i>
    <i r="1">
      <x v="135"/>
      <x/>
      <x v="2"/>
    </i>
    <i r="2">
      <x v="1"/>
      <x v="2"/>
    </i>
    <i r="2">
      <x v="2"/>
      <x v="2"/>
    </i>
    <i r="1">
      <x v="136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10">
        <item m="1" x="21"/>
        <item m="1" x="44"/>
        <item m="1" x="16"/>
        <item m="1" x="96"/>
        <item m="1" x="79"/>
        <item m="1" x="49"/>
        <item m="1" x="105"/>
        <item m="1" x="37"/>
        <item m="1" x="41"/>
        <item m="1" x="108"/>
        <item m="1" x="74"/>
        <item m="1" x="86"/>
        <item m="1" x="91"/>
        <item m="1" x="15"/>
        <item m="1" x="43"/>
        <item m="1" x="33"/>
        <item m="1" x="109"/>
        <item m="1" x="103"/>
        <item m="1" x="31"/>
        <item m="1" x="25"/>
        <item m="1" x="97"/>
        <item m="1" x="17"/>
        <item m="1" x="50"/>
        <item m="1" x="36"/>
        <item m="1" x="61"/>
        <item m="1" x="88"/>
        <item m="1" x="52"/>
        <item m="1" x="22"/>
        <item m="1" x="46"/>
        <item m="1" x="75"/>
        <item m="1" x="65"/>
        <item m="1" x="23"/>
        <item m="1" x="82"/>
        <item m="1" x="14"/>
        <item m="1" x="102"/>
        <item m="1" x="70"/>
        <item m="1" x="90"/>
        <item m="1" x="45"/>
        <item m="1" x="104"/>
        <item m="1" x="73"/>
        <item m="1" x="27"/>
        <item m="1" x="64"/>
        <item m="1" x="78"/>
        <item m="1" x="89"/>
        <item m="1" x="95"/>
        <item m="1" x="13"/>
        <item m="1" x="26"/>
        <item m="1" x="35"/>
        <item m="1" x="28"/>
        <item m="1" x="12"/>
        <item m="1" x="87"/>
        <item m="1" x="99"/>
        <item m="1" x="39"/>
        <item m="1" x="69"/>
        <item m="1" x="30"/>
        <item m="1" x="47"/>
        <item m="1" x="34"/>
        <item m="1" x="55"/>
        <item m="1" x="42"/>
        <item m="1" x="62"/>
        <item m="1" x="48"/>
        <item m="1" x="71"/>
        <item m="1" x="56"/>
        <item m="1" x="76"/>
        <item m="1" x="63"/>
        <item m="1" x="84"/>
        <item m="1" x="77"/>
        <item m="1" x="92"/>
        <item m="1" x="100"/>
        <item m="1" x="80"/>
        <item m="1" x="59"/>
        <item m="1" x="40"/>
        <item m="1" x="53"/>
        <item m="1" x="24"/>
        <item m="1" x="29"/>
        <item m="1" x="38"/>
        <item m="1" x="66"/>
        <item m="1" x="101"/>
        <item m="1" x="94"/>
        <item m="1" x="81"/>
        <item m="1" x="54"/>
        <item m="1" x="67"/>
        <item m="1" x="58"/>
        <item m="1" x="83"/>
        <item m="1" x="68"/>
        <item m="1" x="51"/>
        <item m="1" x="57"/>
        <item m="1" x="20"/>
        <item m="1" x="60"/>
        <item m="1" x="72"/>
        <item m="1" x="85"/>
        <item m="1" x="93"/>
        <item m="1" x="98"/>
        <item m="1" x="107"/>
        <item m="1" x="18"/>
        <item m="1" x="32"/>
        <item m="1" x="106"/>
        <item m="1" x="19"/>
        <item m="1" x="11"/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6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7"/>
      <x v="1"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  <i r="1">
      <x v="108"/>
      <x v="7"/>
      <x v="1"/>
    </i>
    <i r="1">
      <x v="10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9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5">
        <item m="1" x="32"/>
        <item m="1" x="8"/>
        <item m="1" x="33"/>
        <item m="1" x="9"/>
        <item m="1" x="34"/>
        <item m="1" x="10"/>
        <item m="1" x="35"/>
        <item m="1" x="11"/>
        <item m="1" x="67"/>
        <item m="1" x="22"/>
        <item x="4"/>
        <item m="1" x="66"/>
        <item m="1" x="53"/>
        <item m="1" x="70"/>
        <item m="1" x="55"/>
        <item m="1" x="71"/>
        <item m="1" x="78"/>
        <item m="1" x="47"/>
        <item m="1" x="15"/>
        <item m="1" x="64"/>
        <item m="1" x="54"/>
        <item m="1" x="52"/>
        <item m="1" x="18"/>
        <item m="1" x="62"/>
        <item m="1" x="27"/>
        <item m="1" x="63"/>
        <item m="1" x="28"/>
        <item m="1" x="61"/>
        <item m="1" x="81"/>
        <item m="1" x="21"/>
        <item m="1" x="84"/>
        <item m="1" x="49"/>
        <item m="1" x="16"/>
        <item m="1" x="79"/>
        <item m="1" x="74"/>
        <item m="1" x="50"/>
        <item m="1" x="17"/>
        <item m="1" x="80"/>
        <item m="1" x="75"/>
        <item m="1" x="12"/>
        <item m="1" x="46"/>
        <item m="1" x="30"/>
        <item m="1" x="20"/>
        <item m="1" x="72"/>
        <item m="1" x="42"/>
        <item m="1" x="73"/>
        <item m="1" x="43"/>
        <item m="1" x="29"/>
        <item m="1" x="24"/>
        <item m="1" x="51"/>
        <item m="1" x="26"/>
        <item m="1" x="83"/>
        <item m="1" x="76"/>
        <item m="1" x="25"/>
        <item m="1" x="23"/>
        <item m="1" x="68"/>
        <item m="1" x="77"/>
        <item m="1" x="13"/>
        <item m="1" x="31"/>
        <item m="1" x="44"/>
        <item m="1" x="65"/>
        <item m="1" x="82"/>
        <item m="1" x="14"/>
        <item m="1" x="41"/>
        <item m="1" x="45"/>
        <item m="1" x="69"/>
        <item m="1" x="48"/>
        <item m="1" x="19"/>
        <item m="1" x="36"/>
        <item m="1" x="56"/>
        <item m="1" x="37"/>
        <item m="1" x="57"/>
        <item m="1" x="38"/>
        <item m="1" x="58"/>
        <item m="1" x="39"/>
        <item m="1" x="59"/>
        <item m="1" x="40"/>
        <item m="1" x="60"/>
        <item m="1" x="7"/>
        <item x="0"/>
        <item x="1"/>
        <item x="2"/>
        <item x="3"/>
        <item x="5"/>
        <item x="6"/>
      </items>
    </pivotField>
    <pivotField axis="axisRow" compact="0" outline="0" showAll="0" defaultSubtotal="0">
      <items count="7">
        <item x="3"/>
        <item x="2"/>
        <item x="1"/>
        <item x="0"/>
        <item m="1" x="5"/>
        <item m="1" x="6"/>
        <item m="1" x="4"/>
      </items>
    </pivotField>
    <pivotField axis="axisRow" compact="0" outline="0" showAll="0" defaultSubtotal="0">
      <items count="5">
        <item x="2"/>
        <item x="0"/>
        <item x="1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7">
    <i>
      <x v="3"/>
      <x v="10"/>
      <x v="1"/>
      <x v="2"/>
    </i>
    <i r="1">
      <x v="79"/>
      <x v="3"/>
      <x v="1"/>
    </i>
    <i r="1">
      <x v="80"/>
      <x v="2"/>
      <x v="1"/>
    </i>
    <i r="1">
      <x v="81"/>
      <x v="3"/>
      <x v="1"/>
    </i>
    <i r="1">
      <x v="82"/>
      <x v="2"/>
      <x v="1"/>
    </i>
    <i r="1">
      <x v="83"/>
      <x/>
      <x/>
    </i>
    <i r="1">
      <x v="84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7" tableType="queryTable" totalsRowShown="0">
  <autoFilter ref="A1:Y17" xr:uid="{C3D003CA-1AFF-426C-A03D-D3AF5760DF1A}"/>
  <sortState xmlns:xlrd2="http://schemas.microsoft.com/office/spreadsheetml/2017/richdata2" ref="A2:Y17">
    <sortCondition ref="D1:D17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8" tableType="queryTable" totalsRowShown="0">
  <autoFilter ref="A1:U18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8" tableType="queryTable" totalsRowShown="0">
  <autoFilter ref="A1:P8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baseColWidth="10" defaultColWidth="8.7265625" defaultRowHeight="14.5" x14ac:dyDescent="0.35"/>
  <cols>
    <col min="1" max="1" width="15.1796875" bestFit="1" customWidth="1"/>
    <col min="2" max="2" width="50.26953125" bestFit="1" customWidth="1"/>
    <col min="3" max="3" width="17.7265625" bestFit="1" customWidth="1"/>
    <col min="4" max="4" width="11.54296875" bestFit="1" customWidth="1"/>
    <col min="5" max="5" width="22.08984375" bestFit="1" customWidth="1"/>
    <col min="6" max="6" width="23.5429687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3</v>
      </c>
      <c r="E2">
        <v>1</v>
      </c>
      <c r="F2">
        <v>480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19"/>
  <sheetViews>
    <sheetView tabSelected="1" workbookViewId="0"/>
  </sheetViews>
  <sheetFormatPr baseColWidth="10" defaultColWidth="8.7265625" defaultRowHeight="14.5" x14ac:dyDescent="0.35"/>
  <cols>
    <col min="1" max="1" width="33.36328125" customWidth="1"/>
    <col min="2" max="2" width="28.6328125" bestFit="1" customWidth="1"/>
    <col min="3" max="3" width="12.54296875" bestFit="1" customWidth="1"/>
    <col min="4" max="4" width="8.7265625" bestFit="1" customWidth="1"/>
    <col min="5" max="5" width="28" bestFit="1" customWidth="1"/>
    <col min="6" max="6" width="19.26953125" bestFit="1" customWidth="1"/>
    <col min="7" max="7" width="11.81640625" bestFit="1" customWidth="1"/>
    <col min="8" max="9" width="26.08984375" bestFit="1" customWidth="1"/>
    <col min="10" max="10" width="26.453125" bestFit="1" customWidth="1"/>
    <col min="11" max="11" width="15.6328125" bestFit="1" customWidth="1"/>
    <col min="12" max="12" width="16.08984375" bestFit="1" customWidth="1"/>
    <col min="13" max="13" width="28.6328125" bestFit="1" customWidth="1"/>
    <col min="14" max="14" width="27.6328125" bestFit="1" customWidth="1"/>
    <col min="15" max="15" width="18.63281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" bestFit="1" customWidth="1"/>
    <col min="20" max="20" width="11.81640625" bestFit="1" customWidth="1"/>
    <col min="21" max="21" width="26.08984375" bestFit="1" customWidth="1"/>
    <col min="22" max="22" width="21.1796875" bestFit="1" customWidth="1"/>
    <col min="23" max="23" width="21.54296875" bestFit="1" customWidth="1"/>
    <col min="24" max="24" width="15.6328125" bestFit="1" customWidth="1"/>
    <col min="25" max="25" width="16.08984375" bestFit="1" customWidth="1"/>
    <col min="26" max="26" width="16.36328125" bestFit="1" customWidth="1"/>
    <col min="27" max="27" width="20.6328125" bestFit="1" customWidth="1"/>
    <col min="28" max="28" width="24.6328125" bestFit="1" customWidth="1"/>
    <col min="29" max="29" width="12" bestFit="1" customWidth="1"/>
    <col min="30" max="30" width="10.1796875" bestFit="1" customWidth="1"/>
    <col min="31" max="31" width="24.1796875" bestFit="1" customWidth="1"/>
    <col min="32" max="32" width="10" bestFit="1" customWidth="1"/>
    <col min="33" max="33" width="28.7265625" bestFit="1" customWidth="1"/>
    <col min="34" max="34" width="19.08984375" bestFit="1" customWidth="1"/>
    <col min="35" max="35" width="19.453125" bestFit="1" customWidth="1"/>
    <col min="36" max="36" width="19.90625" bestFit="1" customWidth="1"/>
    <col min="37" max="37" width="32.36328125" bestFit="1" customWidth="1"/>
    <col min="38" max="38" width="24.6328125" bestFit="1" customWidth="1"/>
    <col min="39" max="39" width="12" bestFit="1" customWidth="1"/>
    <col min="40" max="40" width="8.7265625" bestFit="1" customWidth="1"/>
    <col min="41" max="41" width="24.1796875" bestFit="1" customWidth="1"/>
    <col min="42" max="42" width="10" bestFit="1" customWidth="1"/>
    <col min="43" max="43" width="28.7265625" bestFit="1" customWidth="1"/>
    <col min="44" max="44" width="19.08984375" bestFit="1" customWidth="1"/>
    <col min="45" max="45" width="19.453125" bestFit="1" customWidth="1"/>
    <col min="46" max="46" width="19.90625" bestFit="1" customWidth="1"/>
    <col min="47" max="47" width="14.90625" bestFit="1" customWidth="1"/>
    <col min="48" max="48" width="20.6328125" bestFit="1" customWidth="1"/>
    <col min="49" max="49" width="26.36328125" bestFit="1" customWidth="1"/>
    <col min="50" max="50" width="10.1796875" bestFit="1" customWidth="1"/>
    <col min="51" max="51" width="25.6328125" bestFit="1" customWidth="1"/>
    <col min="52" max="52" width="26.54296875" bestFit="1" customWidth="1"/>
    <col min="53" max="53" width="27" bestFit="1" customWidth="1"/>
    <col min="54" max="54" width="24.90625" bestFit="1" customWidth="1"/>
    <col min="55" max="55" width="29.36328125" bestFit="1" customWidth="1"/>
    <col min="56" max="56" width="31.90625" bestFit="1" customWidth="1"/>
    <col min="57" max="57" width="21.63281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5.8181824516201103E-4</v>
      </c>
      <c r="F3" s="5">
        <v>1</v>
      </c>
      <c r="G3" s="5">
        <v>1.5556382873259701E-4</v>
      </c>
      <c r="H3" s="5">
        <v>0</v>
      </c>
      <c r="I3" s="5">
        <v>5.8181824516201103E-4</v>
      </c>
      <c r="J3" s="5">
        <v>5.8181824516201103E-4</v>
      </c>
      <c r="K3" s="5">
        <v>0</v>
      </c>
      <c r="L3" s="5">
        <v>6.05918781145647E-2</v>
      </c>
      <c r="M3" s="5">
        <v>3138</v>
      </c>
      <c r="O3" t="s">
        <v>66</v>
      </c>
      <c r="P3" t="s">
        <v>90</v>
      </c>
      <c r="Q3" t="s">
        <v>91</v>
      </c>
      <c r="R3" t="s">
        <v>92</v>
      </c>
      <c r="S3" s="5">
        <v>7.4315924000492403E-2</v>
      </c>
      <c r="T3" s="5">
        <v>3E+20</v>
      </c>
      <c r="U3" s="5">
        <v>0</v>
      </c>
      <c r="V3" s="5">
        <v>7.4315924000492403E-2</v>
      </c>
      <c r="W3" s="5">
        <v>7.4315924000492403E-2</v>
      </c>
      <c r="X3" s="5">
        <v>0</v>
      </c>
      <c r="Y3" s="5">
        <v>1</v>
      </c>
      <c r="AA3" t="s">
        <v>110</v>
      </c>
      <c r="AB3" t="s">
        <v>110</v>
      </c>
      <c r="AC3" t="s">
        <v>110</v>
      </c>
      <c r="AD3" t="s">
        <v>110</v>
      </c>
      <c r="AE3" s="5"/>
      <c r="AF3" s="5"/>
      <c r="AG3" s="5"/>
      <c r="AH3" s="5"/>
      <c r="AI3" s="5"/>
      <c r="AK3" t="s">
        <v>66</v>
      </c>
      <c r="AL3" t="s">
        <v>104</v>
      </c>
      <c r="AM3" t="s">
        <v>105</v>
      </c>
      <c r="AN3" t="s">
        <v>106</v>
      </c>
      <c r="AO3" s="5">
        <v>6985</v>
      </c>
      <c r="AP3" s="5">
        <v>4E+20</v>
      </c>
      <c r="AQ3" s="5">
        <v>0</v>
      </c>
      <c r="AR3" s="5">
        <v>6985</v>
      </c>
      <c r="AS3" s="5">
        <v>6985</v>
      </c>
      <c r="AU3" t="s">
        <v>110</v>
      </c>
      <c r="AV3" t="s">
        <v>110</v>
      </c>
      <c r="AW3" t="s">
        <v>110</v>
      </c>
      <c r="AX3" t="s">
        <v>110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2.72007132510311E-2</v>
      </c>
      <c r="F4" s="5">
        <v>1</v>
      </c>
      <c r="G4" s="5">
        <v>2E+20</v>
      </c>
      <c r="H4" s="5">
        <v>0</v>
      </c>
      <c r="I4" s="5">
        <v>2.72007132510311E-2</v>
      </c>
      <c r="J4" s="5">
        <v>2.72007132510311E-2</v>
      </c>
      <c r="K4" s="5">
        <v>1.90555660162772E-3</v>
      </c>
      <c r="L4" s="5">
        <v>7.0654119307221194E-2</v>
      </c>
      <c r="M4" s="5">
        <v>10</v>
      </c>
      <c r="Q4" t="s">
        <v>93</v>
      </c>
      <c r="R4" t="s">
        <v>92</v>
      </c>
      <c r="S4" s="5">
        <v>0.222947772001477</v>
      </c>
      <c r="T4" s="5">
        <v>3E+20</v>
      </c>
      <c r="U4" s="5">
        <v>0</v>
      </c>
      <c r="V4" s="5">
        <v>0.222947772001477</v>
      </c>
      <c r="W4" s="5">
        <v>0.222947772001477</v>
      </c>
      <c r="X4" s="5">
        <v>0</v>
      </c>
      <c r="Y4" s="5">
        <v>3</v>
      </c>
      <c r="AL4" t="s">
        <v>98</v>
      </c>
      <c r="AM4" t="s">
        <v>99</v>
      </c>
      <c r="AN4" t="s">
        <v>92</v>
      </c>
      <c r="AO4" s="5">
        <v>3150</v>
      </c>
      <c r="AP4" s="5">
        <v>4E+20</v>
      </c>
      <c r="AQ4" s="5">
        <v>0</v>
      </c>
      <c r="AR4" s="5">
        <v>3150</v>
      </c>
      <c r="AS4" s="5">
        <v>3150</v>
      </c>
    </row>
    <row r="5" spans="1:52" x14ac:dyDescent="0.35">
      <c r="B5" t="s">
        <v>74</v>
      </c>
      <c r="C5" t="s">
        <v>71</v>
      </c>
      <c r="D5" t="s">
        <v>72</v>
      </c>
      <c r="E5" s="5">
        <v>2.83024019084053E-2</v>
      </c>
      <c r="F5" s="5">
        <v>1</v>
      </c>
      <c r="G5" s="5">
        <v>2E+20</v>
      </c>
      <c r="H5" s="5">
        <v>0</v>
      </c>
      <c r="I5" s="5">
        <v>2.83024019084053E-2</v>
      </c>
      <c r="J5" s="5">
        <v>2.83024019084053E-2</v>
      </c>
      <c r="K5" s="5">
        <v>2.6106532072731201E-2</v>
      </c>
      <c r="L5" s="5">
        <v>3.0498271744079399E-2</v>
      </c>
      <c r="M5" s="5">
        <v>2</v>
      </c>
      <c r="Q5" t="s">
        <v>94</v>
      </c>
      <c r="R5" t="s">
        <v>92</v>
      </c>
      <c r="S5" s="5">
        <v>3</v>
      </c>
      <c r="T5" s="5">
        <v>2E+20</v>
      </c>
      <c r="U5" s="5">
        <v>0</v>
      </c>
      <c r="V5" s="5">
        <v>3</v>
      </c>
      <c r="W5" s="5">
        <v>3</v>
      </c>
      <c r="X5" s="5">
        <v>3</v>
      </c>
      <c r="Y5" s="5">
        <v>3</v>
      </c>
      <c r="AL5" t="s">
        <v>100</v>
      </c>
      <c r="AM5" t="s">
        <v>101</v>
      </c>
      <c r="AN5" t="s">
        <v>92</v>
      </c>
      <c r="AO5" s="5">
        <v>7.4315924000492306E-2</v>
      </c>
      <c r="AP5" s="5">
        <v>4E+20</v>
      </c>
      <c r="AQ5" s="5">
        <v>0</v>
      </c>
      <c r="AR5" s="5">
        <v>7.4315924000492306E-2</v>
      </c>
      <c r="AS5" s="5">
        <v>7.4315924000492306E-2</v>
      </c>
    </row>
    <row r="6" spans="1:52" x14ac:dyDescent="0.35">
      <c r="B6" t="s">
        <v>75</v>
      </c>
      <c r="C6" t="s">
        <v>71</v>
      </c>
      <c r="D6" t="s">
        <v>72</v>
      </c>
      <c r="E6" s="5">
        <v>2.41713901679733E-3</v>
      </c>
      <c r="F6" s="5">
        <v>1</v>
      </c>
      <c r="G6" s="5">
        <v>3E+20</v>
      </c>
      <c r="H6" s="5">
        <v>0</v>
      </c>
      <c r="I6" s="5">
        <v>2.41713901679733E-3</v>
      </c>
      <c r="J6" s="5">
        <v>2.41713901679733E-3</v>
      </c>
      <c r="K6" s="5">
        <v>0</v>
      </c>
      <c r="L6" s="5">
        <v>0.11376693282449001</v>
      </c>
      <c r="M6" s="5">
        <v>3149</v>
      </c>
      <c r="P6" t="s">
        <v>70</v>
      </c>
      <c r="Q6" t="s">
        <v>95</v>
      </c>
      <c r="R6" t="s">
        <v>72</v>
      </c>
      <c r="S6" s="5">
        <v>3.8036367777466401E-3</v>
      </c>
      <c r="T6" s="5">
        <v>2E+20</v>
      </c>
      <c r="U6" s="5">
        <v>0</v>
      </c>
      <c r="V6" s="5">
        <v>3.8036367777466401E-3</v>
      </c>
      <c r="W6" s="5">
        <v>3.8036367777466401E-3</v>
      </c>
      <c r="X6" s="5">
        <v>0</v>
      </c>
      <c r="Y6" s="5">
        <v>1</v>
      </c>
      <c r="AL6" t="s">
        <v>102</v>
      </c>
      <c r="AM6" t="s">
        <v>99</v>
      </c>
      <c r="AN6" t="s">
        <v>92</v>
      </c>
      <c r="AO6" s="5">
        <v>3835</v>
      </c>
      <c r="AP6" s="5">
        <v>4E+20</v>
      </c>
      <c r="AQ6" s="5">
        <v>0</v>
      </c>
      <c r="AR6" s="5">
        <v>3835</v>
      </c>
      <c r="AS6" s="5">
        <v>3835</v>
      </c>
    </row>
    <row r="7" spans="1:52" x14ac:dyDescent="0.35">
      <c r="B7" t="s">
        <v>76</v>
      </c>
      <c r="C7" t="s">
        <v>71</v>
      </c>
      <c r="D7" t="s">
        <v>72</v>
      </c>
      <c r="E7" s="5">
        <v>3.6611801719458798E-3</v>
      </c>
      <c r="F7" s="5">
        <v>1</v>
      </c>
      <c r="G7" s="5">
        <v>1.00317218483921E-3</v>
      </c>
      <c r="H7" s="5">
        <v>0</v>
      </c>
      <c r="I7" s="5">
        <v>3.6611801719458798E-3</v>
      </c>
      <c r="J7" s="5">
        <v>3.6611801719458798E-3</v>
      </c>
      <c r="K7" s="5">
        <v>0</v>
      </c>
      <c r="L7" s="5">
        <v>9.2745178476491205E-2</v>
      </c>
      <c r="M7" s="5">
        <v>686</v>
      </c>
      <c r="P7" t="s">
        <v>73</v>
      </c>
      <c r="Q7" t="s">
        <v>95</v>
      </c>
      <c r="R7" t="s">
        <v>72</v>
      </c>
      <c r="S7" s="5">
        <v>5.6668152606314701E-4</v>
      </c>
      <c r="T7" s="5">
        <v>2E+20</v>
      </c>
      <c r="U7" s="5">
        <v>0</v>
      </c>
      <c r="V7" s="5">
        <v>5.6668152606314701E-4</v>
      </c>
      <c r="W7" s="5">
        <v>5.6668152606314701E-4</v>
      </c>
      <c r="X7" s="5">
        <v>0</v>
      </c>
      <c r="Y7" s="5">
        <v>1</v>
      </c>
      <c r="AL7" t="s">
        <v>103</v>
      </c>
      <c r="AM7" t="s">
        <v>101</v>
      </c>
      <c r="AN7" t="s">
        <v>92</v>
      </c>
      <c r="AO7" s="5">
        <v>0.122456881384934</v>
      </c>
      <c r="AP7" s="5">
        <v>4E+20</v>
      </c>
      <c r="AQ7" s="5">
        <v>0</v>
      </c>
      <c r="AR7" s="5">
        <v>0.122456881384934</v>
      </c>
      <c r="AS7" s="5">
        <v>0.122456881384934</v>
      </c>
    </row>
    <row r="8" spans="1:52" x14ac:dyDescent="0.35">
      <c r="B8" t="s">
        <v>77</v>
      </c>
      <c r="C8" t="s">
        <v>71</v>
      </c>
      <c r="D8" t="s">
        <v>72</v>
      </c>
      <c r="E8" s="5">
        <v>1.2423039757785399E-4</v>
      </c>
      <c r="F8" s="5">
        <v>1</v>
      </c>
      <c r="G8" s="5">
        <v>7.4015189011421696E-5</v>
      </c>
      <c r="H8" s="5">
        <v>0</v>
      </c>
      <c r="I8" s="5">
        <v>1.2423039757785399E-4</v>
      </c>
      <c r="J8" s="5">
        <v>1.2423039757785399E-4</v>
      </c>
      <c r="K8" s="5">
        <v>0</v>
      </c>
      <c r="L8" s="5">
        <v>3.53881484084013E-2</v>
      </c>
      <c r="M8" s="5">
        <v>3138</v>
      </c>
      <c r="P8" t="s">
        <v>74</v>
      </c>
      <c r="Q8" t="s">
        <v>95</v>
      </c>
      <c r="R8" t="s">
        <v>72</v>
      </c>
      <c r="S8" s="5">
        <v>1.17926674618355E-4</v>
      </c>
      <c r="T8" s="5">
        <v>2E+20</v>
      </c>
      <c r="U8" s="5">
        <v>0</v>
      </c>
      <c r="V8" s="5">
        <v>1.17926674618355E-4</v>
      </c>
      <c r="W8" s="5">
        <v>1.17926674618355E-4</v>
      </c>
      <c r="X8" s="5">
        <v>0</v>
      </c>
      <c r="Y8" s="5">
        <v>1</v>
      </c>
      <c r="AL8" t="s">
        <v>107</v>
      </c>
      <c r="AM8" t="s">
        <v>108</v>
      </c>
      <c r="AN8" t="s">
        <v>84</v>
      </c>
      <c r="AO8" s="5">
        <v>14415</v>
      </c>
      <c r="AP8" s="5">
        <v>4E+20</v>
      </c>
      <c r="AQ8" s="5">
        <v>0</v>
      </c>
      <c r="AR8" s="5">
        <v>14415</v>
      </c>
      <c r="AS8" s="5">
        <v>14415</v>
      </c>
    </row>
    <row r="9" spans="1:52" x14ac:dyDescent="0.35">
      <c r="B9" t="s">
        <v>78</v>
      </c>
      <c r="C9" t="s">
        <v>71</v>
      </c>
      <c r="D9" t="s">
        <v>72</v>
      </c>
      <c r="E9" s="5">
        <v>1.3738869742695701E-2</v>
      </c>
      <c r="F9" s="5">
        <v>1</v>
      </c>
      <c r="G9" s="5">
        <v>2E+20</v>
      </c>
      <c r="H9" s="5">
        <v>0</v>
      </c>
      <c r="I9" s="5">
        <v>1.3738869742695701E-2</v>
      </c>
      <c r="J9" s="5">
        <v>1.3738869742695701E-2</v>
      </c>
      <c r="K9" s="5">
        <v>0</v>
      </c>
      <c r="L9" s="5">
        <v>6.9340207782545293E-2</v>
      </c>
      <c r="M9" s="5">
        <v>10</v>
      </c>
      <c r="P9" t="s">
        <v>75</v>
      </c>
      <c r="Q9" t="s">
        <v>95</v>
      </c>
      <c r="R9" t="s">
        <v>72</v>
      </c>
      <c r="S9" s="5">
        <v>1.58574390914475E-2</v>
      </c>
      <c r="T9" s="5">
        <v>3.7154526183289E-3</v>
      </c>
      <c r="U9" s="5">
        <v>0</v>
      </c>
      <c r="V9" s="5">
        <v>1.58574390914475E-2</v>
      </c>
      <c r="W9" s="5">
        <v>1.58574390914475E-2</v>
      </c>
      <c r="X9" s="5">
        <v>0</v>
      </c>
      <c r="Y9" s="5">
        <v>1</v>
      </c>
      <c r="AL9" t="s">
        <v>109</v>
      </c>
      <c r="AM9" t="s">
        <v>105</v>
      </c>
      <c r="AN9" t="s">
        <v>84</v>
      </c>
      <c r="AO9" s="5">
        <v>14415</v>
      </c>
      <c r="AP9" s="5">
        <v>4E+20</v>
      </c>
      <c r="AQ9" s="5">
        <v>0</v>
      </c>
      <c r="AR9" s="5">
        <v>14415</v>
      </c>
      <c r="AS9" s="5">
        <v>14415</v>
      </c>
    </row>
    <row r="10" spans="1:52" x14ac:dyDescent="0.35">
      <c r="B10" t="s">
        <v>79</v>
      </c>
      <c r="C10" t="s">
        <v>71</v>
      </c>
      <c r="D10" t="s">
        <v>72</v>
      </c>
      <c r="E10" s="5">
        <v>0</v>
      </c>
      <c r="F10" s="5">
        <v>1</v>
      </c>
      <c r="G10" s="5">
        <v>2E+20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2</v>
      </c>
      <c r="P10" t="s">
        <v>76</v>
      </c>
      <c r="Q10" t="s">
        <v>95</v>
      </c>
      <c r="R10" t="s">
        <v>72</v>
      </c>
      <c r="S10" s="5">
        <v>5.2324366624059903E-3</v>
      </c>
      <c r="T10" s="5">
        <v>2E+20</v>
      </c>
      <c r="U10" s="5">
        <v>0</v>
      </c>
      <c r="V10" s="5">
        <v>5.2324366624059903E-3</v>
      </c>
      <c r="W10" s="5">
        <v>5.2324366624059903E-3</v>
      </c>
      <c r="X10" s="5">
        <v>0</v>
      </c>
      <c r="Y10" s="5">
        <v>1</v>
      </c>
    </row>
    <row r="11" spans="1:52" x14ac:dyDescent="0.35">
      <c r="B11" t="s">
        <v>80</v>
      </c>
      <c r="C11" t="s">
        <v>71</v>
      </c>
      <c r="D11" t="s">
        <v>72</v>
      </c>
      <c r="E11" s="5">
        <v>1.02993399240824E-3</v>
      </c>
      <c r="F11" s="5">
        <v>1</v>
      </c>
      <c r="G11" s="5">
        <v>3E+20</v>
      </c>
      <c r="H11" s="5">
        <v>0</v>
      </c>
      <c r="I11" s="5">
        <v>1.02993399240824E-3</v>
      </c>
      <c r="J11" s="5">
        <v>1.02993399240824E-3</v>
      </c>
      <c r="K11" s="5">
        <v>0</v>
      </c>
      <c r="L11" s="5">
        <v>0.137834060403803</v>
      </c>
      <c r="M11" s="5">
        <v>3149</v>
      </c>
      <c r="P11" t="s">
        <v>77</v>
      </c>
      <c r="Q11" t="s">
        <v>95</v>
      </c>
      <c r="R11" t="s">
        <v>72</v>
      </c>
      <c r="S11" s="5">
        <v>8.12156224165224E-4</v>
      </c>
      <c r="T11" s="5">
        <v>2E+20</v>
      </c>
      <c r="U11" s="5">
        <v>0</v>
      </c>
      <c r="V11" s="5">
        <v>8.12156224165224E-4</v>
      </c>
      <c r="W11" s="5">
        <v>8.12156224165224E-4</v>
      </c>
      <c r="X11" s="5">
        <v>0</v>
      </c>
      <c r="Y11" s="5">
        <v>1</v>
      </c>
    </row>
    <row r="12" spans="1:52" x14ac:dyDescent="0.35">
      <c r="B12" t="s">
        <v>81</v>
      </c>
      <c r="C12" t="s">
        <v>71</v>
      </c>
      <c r="D12" t="s">
        <v>72</v>
      </c>
      <c r="E12" s="5">
        <v>4.0089255315978601E-4</v>
      </c>
      <c r="F12" s="5">
        <v>1</v>
      </c>
      <c r="G12" s="5">
        <v>3.1842510007756901E-4</v>
      </c>
      <c r="H12" s="5">
        <v>0</v>
      </c>
      <c r="I12" s="5">
        <v>4.0089255315978601E-4</v>
      </c>
      <c r="J12" s="5">
        <v>4.0089255315978601E-4</v>
      </c>
      <c r="K12" s="5">
        <v>0</v>
      </c>
      <c r="L12" s="5">
        <v>8.2687593132767703E-2</v>
      </c>
      <c r="M12" s="5">
        <v>686</v>
      </c>
      <c r="P12" t="s">
        <v>78</v>
      </c>
      <c r="Q12" t="s">
        <v>95</v>
      </c>
      <c r="R12" t="s">
        <v>72</v>
      </c>
      <c r="S12" s="5">
        <v>2.8622645297282602E-4</v>
      </c>
      <c r="T12" s="5">
        <v>2E+20</v>
      </c>
      <c r="U12" s="5">
        <v>0</v>
      </c>
      <c r="V12" s="5">
        <v>2.8622645297282602E-4</v>
      </c>
      <c r="W12" s="5">
        <v>2.8622645297282602E-4</v>
      </c>
      <c r="X12" s="5">
        <v>0</v>
      </c>
      <c r="Y12" s="5">
        <v>1</v>
      </c>
    </row>
    <row r="13" spans="1:52" x14ac:dyDescent="0.35">
      <c r="B13" t="s">
        <v>82</v>
      </c>
      <c r="C13" t="s">
        <v>83</v>
      </c>
      <c r="D13" t="s">
        <v>84</v>
      </c>
      <c r="E13" s="5">
        <v>0</v>
      </c>
      <c r="F13" s="5">
        <v>1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6985</v>
      </c>
      <c r="P13" t="s">
        <v>79</v>
      </c>
      <c r="Q13" t="s">
        <v>95</v>
      </c>
      <c r="R13" t="s">
        <v>72</v>
      </c>
      <c r="S13" s="5">
        <v>0</v>
      </c>
      <c r="T13" s="5">
        <v>2E+20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</row>
    <row r="14" spans="1:52" x14ac:dyDescent="0.35">
      <c r="C14" t="s">
        <v>85</v>
      </c>
      <c r="D14" t="s">
        <v>84</v>
      </c>
      <c r="E14" s="5">
        <v>0</v>
      </c>
      <c r="F14" s="5">
        <v>1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6985</v>
      </c>
      <c r="P14" t="s">
        <v>80</v>
      </c>
      <c r="Q14" t="s">
        <v>95</v>
      </c>
      <c r="R14" t="s">
        <v>72</v>
      </c>
      <c r="S14" s="5">
        <v>6.7567961293615404E-3</v>
      </c>
      <c r="T14" s="5">
        <v>2E+20</v>
      </c>
      <c r="U14" s="5">
        <v>0</v>
      </c>
      <c r="V14" s="5">
        <v>6.7567961293615404E-3</v>
      </c>
      <c r="W14" s="5">
        <v>6.7567961293615404E-3</v>
      </c>
      <c r="X14" s="5">
        <v>0</v>
      </c>
      <c r="Y14" s="5">
        <v>4</v>
      </c>
    </row>
    <row r="15" spans="1:52" x14ac:dyDescent="0.35">
      <c r="C15" t="s">
        <v>86</v>
      </c>
      <c r="D15" t="s">
        <v>84</v>
      </c>
      <c r="E15" s="5">
        <v>3.4487692592745603E-2</v>
      </c>
      <c r="F15" s="5">
        <v>1</v>
      </c>
      <c r="G15" s="5">
        <v>8.3020312716949895E-4</v>
      </c>
      <c r="H15" s="5">
        <v>0</v>
      </c>
      <c r="I15" s="5">
        <v>3.4487692592745603E-2</v>
      </c>
      <c r="J15" s="5">
        <v>3.4487692592745603E-2</v>
      </c>
      <c r="K15" s="5">
        <v>0</v>
      </c>
      <c r="L15" s="5">
        <v>0.22945159607183299</v>
      </c>
      <c r="M15" s="5">
        <v>6985</v>
      </c>
      <c r="P15" t="s">
        <v>81</v>
      </c>
      <c r="Q15" t="s">
        <v>95</v>
      </c>
      <c r="R15" t="s">
        <v>72</v>
      </c>
      <c r="S15" s="5">
        <v>5.7294227389085997E-4</v>
      </c>
      <c r="T15" s="5">
        <v>2E+20</v>
      </c>
      <c r="U15" s="5">
        <v>0</v>
      </c>
      <c r="V15" s="5">
        <v>5.7294227389085997E-4</v>
      </c>
      <c r="W15" s="5">
        <v>5.7294227389085997E-4</v>
      </c>
      <c r="X15" s="5">
        <v>0</v>
      </c>
      <c r="Y15" s="5">
        <v>1</v>
      </c>
    </row>
    <row r="16" spans="1:52" x14ac:dyDescent="0.35">
      <c r="C16" t="s">
        <v>87</v>
      </c>
      <c r="D16" t="s">
        <v>84</v>
      </c>
      <c r="E16" s="5">
        <v>0</v>
      </c>
      <c r="F16" s="5">
        <v>1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6985</v>
      </c>
      <c r="P16" t="s">
        <v>96</v>
      </c>
      <c r="Q16" t="s">
        <v>91</v>
      </c>
      <c r="R16" t="s">
        <v>92</v>
      </c>
      <c r="S16" s="5">
        <v>0.122456881384934</v>
      </c>
      <c r="T16" s="5">
        <v>1.13595832386104E-2</v>
      </c>
      <c r="U16" s="5">
        <v>0</v>
      </c>
      <c r="V16" s="5">
        <v>0.122456881384934</v>
      </c>
      <c r="W16" s="5">
        <v>0.122456881384934</v>
      </c>
      <c r="X16" s="5">
        <v>0</v>
      </c>
      <c r="Y16" s="5">
        <v>1</v>
      </c>
    </row>
    <row r="17" spans="3:25" x14ac:dyDescent="0.35">
      <c r="C17" t="s">
        <v>88</v>
      </c>
      <c r="D17" t="s">
        <v>84</v>
      </c>
      <c r="E17" s="5">
        <v>3.21508284452749E-2</v>
      </c>
      <c r="F17" s="5">
        <v>1</v>
      </c>
      <c r="G17" s="5">
        <v>5.0897841948417905E-4</v>
      </c>
      <c r="H17" s="5">
        <v>0</v>
      </c>
      <c r="I17" s="5">
        <v>3.21508284452749E-2</v>
      </c>
      <c r="J17" s="5">
        <v>3.21508284452749E-2</v>
      </c>
      <c r="K17" s="5">
        <v>0</v>
      </c>
      <c r="L17" s="5">
        <v>0.16306408188452801</v>
      </c>
      <c r="M17" s="5">
        <v>6985</v>
      </c>
      <c r="Q17" t="s">
        <v>93</v>
      </c>
      <c r="R17" t="s">
        <v>92</v>
      </c>
      <c r="S17" s="5">
        <v>0.24491376276986701</v>
      </c>
      <c r="T17" s="5">
        <v>2.2719166477220699E-2</v>
      </c>
      <c r="U17" s="5">
        <v>0</v>
      </c>
      <c r="V17" s="5">
        <v>0.24491376276986701</v>
      </c>
      <c r="W17" s="5">
        <v>0.24491376276986701</v>
      </c>
      <c r="X17" s="5">
        <v>0</v>
      </c>
      <c r="Y17" s="5">
        <v>2</v>
      </c>
    </row>
    <row r="18" spans="3:25" x14ac:dyDescent="0.35">
      <c r="C18" t="s">
        <v>89</v>
      </c>
      <c r="D18" t="s">
        <v>84</v>
      </c>
      <c r="E18" s="5">
        <v>2.3368641474706699E-3</v>
      </c>
      <c r="F18" s="5">
        <v>1</v>
      </c>
      <c r="G18" s="5">
        <v>5.3303893752086303E-4</v>
      </c>
      <c r="H18" s="5">
        <v>0</v>
      </c>
      <c r="I18" s="5">
        <v>2.3368641474706699E-3</v>
      </c>
      <c r="J18" s="5">
        <v>2.3368641474706699E-3</v>
      </c>
      <c r="K18" s="5">
        <v>0</v>
      </c>
      <c r="L18" s="5">
        <v>0.154728133533414</v>
      </c>
      <c r="M18" s="5">
        <v>6985</v>
      </c>
      <c r="Q18" t="s">
        <v>94</v>
      </c>
      <c r="R18" t="s">
        <v>92</v>
      </c>
      <c r="S18" s="5">
        <v>2</v>
      </c>
      <c r="T18" s="5">
        <v>2E+20</v>
      </c>
      <c r="U18" s="5">
        <v>0</v>
      </c>
      <c r="V18" s="5">
        <v>2</v>
      </c>
      <c r="W18" s="5">
        <v>2</v>
      </c>
      <c r="X18" s="5">
        <v>2</v>
      </c>
      <c r="Y18" s="5">
        <v>2</v>
      </c>
    </row>
    <row r="19" spans="3:25" x14ac:dyDescent="0.35">
      <c r="P19" t="s">
        <v>82</v>
      </c>
      <c r="Q19" t="s">
        <v>97</v>
      </c>
      <c r="R19" t="s">
        <v>84</v>
      </c>
      <c r="S19" s="5">
        <v>0.50186777658401804</v>
      </c>
      <c r="T19" s="5">
        <v>4.7921332126201401E-2</v>
      </c>
      <c r="U19" s="5">
        <v>0</v>
      </c>
      <c r="V19" s="5">
        <v>0.50186777658401804</v>
      </c>
      <c r="W19" s="5">
        <v>0.50186777658401804</v>
      </c>
      <c r="X19" s="5">
        <v>0</v>
      </c>
      <c r="Y19" s="5">
        <v>12</v>
      </c>
    </row>
  </sheetData>
  <dataConsolidate/>
  <conditionalFormatting pivot="1" sqref="G3:G18">
    <cfRule type="expression" dxfId="31" priority="14">
      <formula>G3=200000000000000000000</formula>
    </cfRule>
  </conditionalFormatting>
  <conditionalFormatting pivot="1" sqref="T3:T19">
    <cfRule type="expression" dxfId="30" priority="13">
      <formula>T3=200000000000000000000</formula>
    </cfRule>
  </conditionalFormatting>
  <conditionalFormatting pivot="1" sqref="T3:T19">
    <cfRule type="expression" dxfId="29" priority="12">
      <formula>T3=300000000000000000000</formula>
    </cfRule>
  </conditionalFormatting>
  <conditionalFormatting pivot="1" sqref="G3:G18">
    <cfRule type="expression" dxfId="28" priority="11">
      <formula>G3=300000000000000000000</formula>
    </cfRule>
  </conditionalFormatting>
  <conditionalFormatting pivot="1" sqref="F3:F18">
    <cfRule type="expression" dxfId="27" priority="10">
      <formula>F3=0</formula>
    </cfRule>
  </conditionalFormatting>
  <conditionalFormatting pivot="1" sqref="F3:F18">
    <cfRule type="expression" dxfId="26" priority="9">
      <formula>F3=1</formula>
    </cfRule>
  </conditionalFormatting>
  <conditionalFormatting pivot="1" sqref="T3:T19">
    <cfRule type="expression" dxfId="25" priority="8">
      <formula>T3=400000000000000000000</formula>
    </cfRule>
  </conditionalFormatting>
  <conditionalFormatting pivot="1" sqref="AP3:AP9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7"/>
  <sheetViews>
    <sheetView workbookViewId="0">
      <selection activeCell="A2" sqref="A2:K6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08984375" bestFit="1" customWidth="1"/>
    <col min="9" max="10" width="11.81640625" bestFit="1" customWidth="1"/>
    <col min="11" max="11" width="21.08984375" bestFit="1" customWidth="1"/>
    <col min="12" max="12" width="49.7265625" bestFit="1" customWidth="1"/>
    <col min="13" max="13" width="16" bestFit="1" customWidth="1"/>
    <col min="14" max="14" width="18.6328125" bestFit="1" customWidth="1"/>
    <col min="15" max="15" width="16.6328125" bestFit="1" customWidth="1"/>
    <col min="16" max="16" width="19" bestFit="1" customWidth="1"/>
    <col min="17" max="17" width="11.6328125" bestFit="1" customWidth="1"/>
    <col min="18" max="18" width="17.90625" bestFit="1" customWidth="1"/>
    <col min="19" max="19" width="18.36328125" bestFit="1" customWidth="1"/>
    <col min="20" max="20" width="17.08984375" bestFit="1" customWidth="1"/>
    <col min="21" max="21" width="17.453125" bestFit="1" customWidth="1"/>
    <col min="22" max="22" width="27.90625" bestFit="1" customWidth="1"/>
    <col min="23" max="23" width="19.6328125" bestFit="1" customWidth="1"/>
    <col min="24" max="24" width="22.6328125" bestFit="1" customWidth="1"/>
    <col min="25" max="25" width="21.089843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5.8181824516201103E-4</v>
      </c>
      <c r="H2">
        <v>1.5556382873259701E-4</v>
      </c>
      <c r="I2">
        <v>0</v>
      </c>
      <c r="J2">
        <v>6.05918781145647E-2</v>
      </c>
      <c r="K2">
        <v>3138</v>
      </c>
      <c r="L2" t="str">
        <f>DiscreteStatsTable[[#This Row],[ProjectName]]&amp;DiscreteStatsTable[[#This Row],[Name]]&amp;DiscreteStatsTable[[#This Row],[Type]]&amp;DiscreteStatsTable[[#This Row],[Source]]</f>
        <v>Unnamed ProjectCaseta A.QueueWaiting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5.8181824516201103E-4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5.8181824516201103E-4</v>
      </c>
      <c r="S2" cm="1">
        <f t="array" ref="S2">MAX(IF((DiscreteStatsTable[GroupByKey]=DiscreteStatsTable[[#This Row],[GroupByKey]]),(DiscreteStatsTable[GroupByKey]=DiscreteStatsTable[[#This Row],[GroupByKey]])*DiscreteStatsTable[Average]))</f>
        <v>5.8181824516201103E-4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6.05918781145647E-2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3138</v>
      </c>
      <c r="W2">
        <f>IF((DiscreteStatsTable[[#This Row],[RepsRequested]]&gt;1),DiscreteStatsTable[[#This Row],[HalfWidth]],DiscreteStatsTable[[#This Row],[BatchMeansHalfWidth]])</f>
        <v>1.5556382873259701E-4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2.72007132510311E-2</v>
      </c>
      <c r="H3">
        <v>2E+20</v>
      </c>
      <c r="I3">
        <v>1.90555660162772E-3</v>
      </c>
      <c r="J3">
        <v>7.0654119307221194E-2</v>
      </c>
      <c r="K3">
        <v>10</v>
      </c>
      <c r="L3" t="str">
        <f>DiscreteStatsTable[[#This Row],[ProjectName]]&amp;DiscreteStatsTable[[#This Row],[Name]]&amp;DiscreteStatsTable[[#This Row],[Type]]&amp;DiscreteStatsTable[[#This Row],[Source]]</f>
        <v>Unnamed ProjectCaseta B.QueueWaiting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2.72007132510311E-2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2.72007132510311E-2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2.72007132510311E-2</v>
      </c>
      <c r="T3" cm="1">
        <f t="array" ref="T3">MIN(IF((DiscreteStatsTable[GroupByKey]=DiscreteStatsTable[[#This Row],[GroupByKey]]),(DiscreteStatsTable[GroupByKey]=DiscreteStatsTable[[#This Row],[GroupByKey]])*DiscreteStatsTable[Minimum]))</f>
        <v>1.90555660162772E-3</v>
      </c>
      <c r="U3" cm="1">
        <f t="array" ref="U3">MAX(IF((DiscreteStatsTable[GroupByKey]=DiscreteStatsTable[[#This Row],[GroupByKey]]),(DiscreteStatsTable[GroupByKey]=DiscreteStatsTable[[#This Row],[GroupByKey]])*DiscreteStatsTable[Maximum]))</f>
        <v>7.0654119307221194E-2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10</v>
      </c>
      <c r="W3">
        <f>IF((DiscreteStatsTable[[#This Row],[RepsRequested]]&gt;1),DiscreteStatsTable[[#This Row],[HalfWidth]],DiscreteStatsTable[[#This Row],[BatchMeansHalfWidth]])</f>
        <v>2E+20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2.83024019084053E-2</v>
      </c>
      <c r="H4">
        <v>2E+20</v>
      </c>
      <c r="I4">
        <v>2.6106532072731201E-2</v>
      </c>
      <c r="J4">
        <v>3.0498271744079399E-2</v>
      </c>
      <c r="K4">
        <v>2</v>
      </c>
      <c r="L4" t="str">
        <f>DiscreteStatsTable[[#This Row],[ProjectName]]&amp;DiscreteStatsTable[[#This Row],[Name]]&amp;DiscreteStatsTable[[#This Row],[Type]]&amp;DiscreteStatsTable[[#This Row],[Source]]</f>
        <v>Unnamed ProjectCaseta C.QueueWaiting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2.83024019084053E-2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2.83024019084053E-2</v>
      </c>
      <c r="S4" cm="1">
        <f t="array" ref="S4">MAX(IF((DiscreteStatsTable[GroupByKey]=DiscreteStatsTable[[#This Row],[GroupByKey]]),(DiscreteStatsTable[GroupByKey]=DiscreteStatsTable[[#This Row],[GroupByKey]])*DiscreteStatsTable[Average]))</f>
        <v>2.83024019084053E-2</v>
      </c>
      <c r="T4" cm="1">
        <f t="array" ref="T4">MIN(IF((DiscreteStatsTable[GroupByKey]=DiscreteStatsTable[[#This Row],[GroupByKey]]),(DiscreteStatsTable[GroupByKey]=DiscreteStatsTable[[#This Row],[GroupByKey]])*DiscreteStatsTable[Minimum]))</f>
        <v>2.6106532072731201E-2</v>
      </c>
      <c r="U4" cm="1">
        <f t="array" ref="U4">MAX(IF((DiscreteStatsTable[GroupByKey]=DiscreteStatsTable[[#This Row],[GroupByKey]]),(DiscreteStatsTable[GroupByKey]=DiscreteStatsTable[[#This Row],[GroupByKey]])*DiscreteStatsTable[Maximum]))</f>
        <v>3.0498271744079399E-2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2</v>
      </c>
      <c r="W4">
        <f>IF((DiscreteStatsTable[[#This Row],[RepsRequested]]&gt;1),DiscreteStatsTable[[#This Row],[HalfWidth]],DiscreteStatsTable[[#This Row],[BatchMeansHalfWidth]])</f>
        <v>2E+20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2.41713901679733E-3</v>
      </c>
      <c r="H5">
        <v>3E+20</v>
      </c>
      <c r="I5">
        <v>0</v>
      </c>
      <c r="J5">
        <v>0.11376693282449001</v>
      </c>
      <c r="K5">
        <v>3149</v>
      </c>
      <c r="L5" t="str">
        <f>DiscreteStatsTable[[#This Row],[ProjectName]]&amp;DiscreteStatsTable[[#This Row],[Name]]&amp;DiscreteStatsTable[[#This Row],[Type]]&amp;DiscreteStatsTable[[#This Row],[Source]]</f>
        <v>Unnamed ProjectCaseta 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2.41713901679733E-3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2.41713901679733E-3</v>
      </c>
      <c r="S5" cm="1">
        <f t="array" ref="S5">MAX(IF((DiscreteStatsTable[GroupByKey]=DiscreteStatsTable[[#This Row],[GroupByKey]]),(DiscreteStatsTable[GroupByKey]=DiscreteStatsTable[[#This Row],[GroupByKey]])*DiscreteStatsTable[Average]))</f>
        <v>2.41713901679733E-3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0.11376693282449001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3149</v>
      </c>
      <c r="W5">
        <f>IF((DiscreteStatsTable[[#This Row],[RepsRequested]]&gt;1),DiscreteStatsTable[[#This Row],[HalfWidth]],DiscreteStatsTable[[#This Row],[BatchMeansHalfWidth]])</f>
        <v>3E+20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76</v>
      </c>
      <c r="E6" t="s">
        <v>71</v>
      </c>
      <c r="F6" t="s">
        <v>72</v>
      </c>
      <c r="G6">
        <v>3.6611801719458798E-3</v>
      </c>
      <c r="H6">
        <v>1.00317218483921E-3</v>
      </c>
      <c r="I6">
        <v>0</v>
      </c>
      <c r="J6">
        <v>9.2745178476491205E-2</v>
      </c>
      <c r="K6">
        <v>686</v>
      </c>
      <c r="L6" t="str">
        <f>DiscreteStatsTable[[#This Row],[ProjectName]]&amp;DiscreteStatsTable[[#This Row],[Name]]&amp;DiscreteStatsTable[[#This Row],[Type]]&amp;DiscreteStatsTable[[#This Row],[Source]]</f>
        <v>Unnamed ProjectCaseta E.QueueWaiting TimeQueue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3.6611801719458798E-3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3.6611801719458798E-3</v>
      </c>
      <c r="S6" cm="1">
        <f t="array" ref="S6">MAX(IF((DiscreteStatsTable[GroupByKey]=DiscreteStatsTable[[#This Row],[GroupByKey]]),(DiscreteStatsTable[GroupByKey]=DiscreteStatsTable[[#This Row],[GroupByKey]])*DiscreteStatsTable[Average]))</f>
        <v>3.6611801719458798E-3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9.2745178476491205E-2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686</v>
      </c>
      <c r="W6">
        <f>IF((DiscreteStatsTable[[#This Row],[RepsRequested]]&gt;1),DiscreteStatsTable[[#This Row],[HalfWidth]],DiscreteStatsTable[[#This Row],[BatchMeansHalfWidth]])</f>
        <v>1.00317218483921E-3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77</v>
      </c>
      <c r="E7" t="s">
        <v>71</v>
      </c>
      <c r="F7" t="s">
        <v>72</v>
      </c>
      <c r="G7">
        <v>1.2423039757785399E-4</v>
      </c>
      <c r="H7">
        <v>7.4015189011421696E-5</v>
      </c>
      <c r="I7">
        <v>0</v>
      </c>
      <c r="J7">
        <v>3.53881484084013E-2</v>
      </c>
      <c r="K7">
        <v>3138</v>
      </c>
      <c r="L7" t="str">
        <f>DiscreteStatsTable[[#This Row],[ProjectName]]&amp;DiscreteStatsTable[[#This Row],[Name]]&amp;DiscreteStatsTable[[#This Row],[Type]]&amp;DiscreteStatsTable[[#This Row],[Source]]</f>
        <v>Unnamed ProjectCola Caseta A.QueueWaiting TimeQueue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1.2423039757785399E-4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1.2423039757785399E-4</v>
      </c>
      <c r="S7" cm="1">
        <f t="array" ref="S7">MAX(IF((DiscreteStatsTable[GroupByKey]=DiscreteStatsTable[[#This Row],[GroupByKey]]),(DiscreteStatsTable[GroupByKey]=DiscreteStatsTable[[#This Row],[GroupByKey]])*DiscreteStatsTable[Average]))</f>
        <v>1.2423039757785399E-4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3.53881484084013E-2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3138</v>
      </c>
      <c r="W7">
        <f>IF((DiscreteStatsTable[[#This Row],[RepsRequested]]&gt;1),DiscreteStatsTable[[#This Row],[HalfWidth]],DiscreteStatsTable[[#This Row],[BatchMeansHalfWidth]])</f>
        <v>7.4015189011421696E-5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78</v>
      </c>
      <c r="E8" t="s">
        <v>71</v>
      </c>
      <c r="F8" t="s">
        <v>72</v>
      </c>
      <c r="G8">
        <v>1.3738869742695701E-2</v>
      </c>
      <c r="H8">
        <v>2E+20</v>
      </c>
      <c r="I8">
        <v>0</v>
      </c>
      <c r="J8">
        <v>6.9340207782545293E-2</v>
      </c>
      <c r="K8">
        <v>10</v>
      </c>
      <c r="L8" t="str">
        <f>DiscreteStatsTable[[#This Row],[ProjectName]]&amp;DiscreteStatsTable[[#This Row],[Name]]&amp;DiscreteStatsTable[[#This Row],[Type]]&amp;DiscreteStatsTable[[#This Row],[Source]]</f>
        <v>Unnamed ProjectCola Caseta B.QueueWaiting TimeQueue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1.3738869742695701E-2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1.3738869742695701E-2</v>
      </c>
      <c r="S8" cm="1">
        <f t="array" ref="S8">MAX(IF((DiscreteStatsTable[GroupByKey]=DiscreteStatsTable[[#This Row],[GroupByKey]]),(DiscreteStatsTable[GroupByKey]=DiscreteStatsTable[[#This Row],[GroupByKey]])*DiscreteStatsTable[Average]))</f>
        <v>1.3738869742695701E-2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6.9340207782545293E-2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10</v>
      </c>
      <c r="W8">
        <f>IF((DiscreteStatsTable[[#This Row],[RepsRequested]]&gt;1),DiscreteStatsTable[[#This Row],[HalfWidth]],DiscreteStatsTable[[#This Row],[BatchMeansHalfWidth]])</f>
        <v>2E+20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79</v>
      </c>
      <c r="E9" t="s">
        <v>71</v>
      </c>
      <c r="F9" t="s">
        <v>72</v>
      </c>
      <c r="G9">
        <v>0</v>
      </c>
      <c r="H9">
        <v>2E+20</v>
      </c>
      <c r="I9">
        <v>0</v>
      </c>
      <c r="J9">
        <v>0</v>
      </c>
      <c r="K9">
        <v>2</v>
      </c>
      <c r="L9" t="str">
        <f>DiscreteStatsTable[[#This Row],[ProjectName]]&amp;DiscreteStatsTable[[#This Row],[Name]]&amp;DiscreteStatsTable[[#This Row],[Type]]&amp;DiscreteStatsTable[[#This Row],[Source]]</f>
        <v>Unnamed ProjectCola Caseta C.QueueWaiting TimeQueue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2</v>
      </c>
      <c r="W9">
        <f>IF((DiscreteStatsTable[[#This Row],[RepsRequested]]&gt;1),DiscreteStatsTable[[#This Row],[HalfWidth]],DiscreteStatsTable[[#This Row],[BatchMeansHalfWidth]])</f>
        <v>2E+20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71</v>
      </c>
      <c r="F10" t="s">
        <v>72</v>
      </c>
      <c r="G10">
        <v>1.02993399240824E-3</v>
      </c>
      <c r="H10">
        <v>3E+20</v>
      </c>
      <c r="I10">
        <v>0</v>
      </c>
      <c r="J10">
        <v>0.137834060403803</v>
      </c>
      <c r="K10">
        <v>3149</v>
      </c>
      <c r="L10" t="str">
        <f>DiscreteStatsTable[[#This Row],[ProjectName]]&amp;DiscreteStatsTable[[#This Row],[Name]]&amp;DiscreteStatsTable[[#This Row],[Type]]&amp;DiscreteStatsTable[[#This Row],[Source]]</f>
        <v>Unnamed ProjectCola Caseta D.QueueWaiting TimeQueue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1.02993399240824E-3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1.02993399240824E-3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1.02993399240824E-3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0.137834060403803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3149</v>
      </c>
      <c r="W10">
        <f>IF((DiscreteStatsTable[[#This Row],[RepsRequested]]&gt;1),DiscreteStatsTable[[#This Row],[HalfWidth]],DiscreteStatsTable[[#This Row],[BatchMeansHalfWidth]])</f>
        <v>3E+20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81</v>
      </c>
      <c r="E11" t="s">
        <v>71</v>
      </c>
      <c r="F11" t="s">
        <v>72</v>
      </c>
      <c r="G11">
        <v>4.0089255315978601E-4</v>
      </c>
      <c r="H11">
        <v>3.1842510007756901E-4</v>
      </c>
      <c r="I11">
        <v>0</v>
      </c>
      <c r="J11">
        <v>8.2687593132767703E-2</v>
      </c>
      <c r="K11">
        <v>686</v>
      </c>
      <c r="L11" t="str">
        <f>DiscreteStatsTable[[#This Row],[ProjectName]]&amp;DiscreteStatsTable[[#This Row],[Name]]&amp;DiscreteStatsTable[[#This Row],[Type]]&amp;DiscreteStatsTable[[#This Row],[Source]]</f>
        <v>Unnamed ProjectCola Caseta E.QueueWaiting TimeQueue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4.0089255315978601E-4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4.0089255315978601E-4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4.0089255315978601E-4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8.2687593132767703E-2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686</v>
      </c>
      <c r="W11">
        <f>IF((DiscreteStatsTable[[#This Row],[RepsRequested]]&gt;1),DiscreteStatsTable[[#This Row],[HalfWidth]],DiscreteStatsTable[[#This Row],[BatchMeansHalfWidth]])</f>
        <v>3.1842510007756901E-4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82</v>
      </c>
      <c r="E12" t="s">
        <v>83</v>
      </c>
      <c r="F12" t="s">
        <v>84</v>
      </c>
      <c r="G12">
        <v>0</v>
      </c>
      <c r="H12">
        <v>0</v>
      </c>
      <c r="I12">
        <v>0</v>
      </c>
      <c r="J12">
        <v>0</v>
      </c>
      <c r="K12">
        <v>6985</v>
      </c>
      <c r="L12" t="str">
        <f>DiscreteStatsTable[[#This Row],[ProjectName]]&amp;DiscreteStatsTable[[#This Row],[Name]]&amp;DiscreteStatsTable[[#This Row],[Type]]&amp;DiscreteStatsTable[[#This Row],[Source]]</f>
        <v>Unnamed ProjectVehículoNVA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0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0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0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0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6985</v>
      </c>
      <c r="W12">
        <f>IF((DiscreteStatsTable[[#This Row],[RepsRequested]]&gt;1),DiscreteStatsTable[[#This Row],[HalfWidth]],DiscreteStatsTable[[#This Row],[BatchMeansHalfWidth]])</f>
        <v>0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82</v>
      </c>
      <c r="E13" t="s">
        <v>85</v>
      </c>
      <c r="F13" t="s">
        <v>84</v>
      </c>
      <c r="G13">
        <v>0</v>
      </c>
      <c r="H13">
        <v>0</v>
      </c>
      <c r="I13">
        <v>0</v>
      </c>
      <c r="J13">
        <v>0</v>
      </c>
      <c r="K13">
        <v>6985</v>
      </c>
      <c r="L13" t="str">
        <f>DiscreteStatsTable[[#This Row],[ProjectName]]&amp;DiscreteStatsTable[[#This Row],[Name]]&amp;DiscreteStatsTable[[#This Row],[Type]]&amp;DiscreteStatsTable[[#This Row],[Source]]</f>
        <v>Unnamed ProjectVehículoOther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6985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82</v>
      </c>
      <c r="E14" t="s">
        <v>86</v>
      </c>
      <c r="F14" t="s">
        <v>84</v>
      </c>
      <c r="G14">
        <v>3.4487692592745603E-2</v>
      </c>
      <c r="H14">
        <v>8.3020312716949895E-4</v>
      </c>
      <c r="I14">
        <v>0</v>
      </c>
      <c r="J14">
        <v>0.22945159607183299</v>
      </c>
      <c r="K14">
        <v>6985</v>
      </c>
      <c r="L14" t="str">
        <f>DiscreteStatsTable[[#This Row],[ProjectName]]&amp;DiscreteStatsTable[[#This Row],[Name]]&amp;DiscreteStatsTable[[#This Row],[Type]]&amp;DiscreteStatsTable[[#This Row],[Source]]</f>
        <v>Unnamed ProjectVehículoTotal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3.4487692592745603E-2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3.4487692592745603E-2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3.4487692592745603E-2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0.22945159607183299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6985</v>
      </c>
      <c r="W14">
        <f>IF((DiscreteStatsTable[[#This Row],[RepsRequested]]&gt;1),DiscreteStatsTable[[#This Row],[HalfWidth]],DiscreteStatsTable[[#This Row],[BatchMeansHalfWidth]])</f>
        <v>8.3020312716949895E-4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82</v>
      </c>
      <c r="E15" t="s">
        <v>87</v>
      </c>
      <c r="F15" t="s">
        <v>84</v>
      </c>
      <c r="G15">
        <v>0</v>
      </c>
      <c r="H15">
        <v>0</v>
      </c>
      <c r="I15">
        <v>0</v>
      </c>
      <c r="J15">
        <v>0</v>
      </c>
      <c r="K15">
        <v>6985</v>
      </c>
      <c r="L15" t="str">
        <f>DiscreteStatsTable[[#This Row],[ProjectName]]&amp;DiscreteStatsTable[[#This Row],[Name]]&amp;DiscreteStatsTable[[#This Row],[Type]]&amp;DiscreteStatsTable[[#This Row],[Source]]</f>
        <v>Unnamed ProjectVehículoTransfer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6985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  <row r="16" spans="1:25" x14ac:dyDescent="0.35">
      <c r="A16" t="s">
        <v>66</v>
      </c>
      <c r="B16" t="s">
        <v>69</v>
      </c>
      <c r="C16">
        <v>1</v>
      </c>
      <c r="D16" t="s">
        <v>82</v>
      </c>
      <c r="E16" t="s">
        <v>88</v>
      </c>
      <c r="F16" t="s">
        <v>84</v>
      </c>
      <c r="G16">
        <v>3.21508284452749E-2</v>
      </c>
      <c r="H16">
        <v>5.0897841948417905E-4</v>
      </c>
      <c r="I16">
        <v>0</v>
      </c>
      <c r="J16">
        <v>0.16306408188452801</v>
      </c>
      <c r="K16">
        <v>6985</v>
      </c>
      <c r="L16" t="str">
        <f>DiscreteStatsTable[[#This Row],[ProjectName]]&amp;DiscreteStatsTable[[#This Row],[Name]]&amp;DiscreteStatsTable[[#This Row],[Type]]&amp;DiscreteStatsTable[[#This Row],[Source]]</f>
        <v>Unnamed ProjectVehículoVA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1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3.21508284452749E-2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0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3.21508284452749E-2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3.21508284452749E-2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0.16306408188452801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6985</v>
      </c>
      <c r="W16">
        <f>IF((DiscreteStatsTable[[#This Row],[RepsRequested]]&gt;1),DiscreteStatsTable[[#This Row],[HalfWidth]],DiscreteStatsTable[[#This Row],[BatchMeansHalfWidth]])</f>
        <v>5.0897841948417905E-4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1</v>
      </c>
      <c r="Y16">
        <f>IF(DiscreteStatsTable[[#This Row],[RepsRequested]]=DiscreteStatsTable[[#This Row],[RepsWithStatObserved]],1,0)</f>
        <v>1</v>
      </c>
    </row>
    <row r="17" spans="1:25" x14ac:dyDescent="0.35">
      <c r="A17" t="s">
        <v>66</v>
      </c>
      <c r="B17" t="s">
        <v>69</v>
      </c>
      <c r="C17">
        <v>1</v>
      </c>
      <c r="D17" t="s">
        <v>82</v>
      </c>
      <c r="E17" t="s">
        <v>89</v>
      </c>
      <c r="F17" t="s">
        <v>84</v>
      </c>
      <c r="G17">
        <v>2.3368641474706699E-3</v>
      </c>
      <c r="H17">
        <v>5.3303893752086303E-4</v>
      </c>
      <c r="I17">
        <v>0</v>
      </c>
      <c r="J17">
        <v>0.154728133533414</v>
      </c>
      <c r="K17">
        <v>6985</v>
      </c>
      <c r="L17" t="str">
        <f>DiscreteStatsTable[[#This Row],[ProjectName]]&amp;DiscreteStatsTable[[#This Row],[Name]]&amp;DiscreteStatsTable[[#This Row],[Type]]&amp;DiscreteStatsTable[[#This Row],[Source]]</f>
        <v>Unnamed ProjectVehículoWait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1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2.3368641474706699E-3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2.3368641474706699E-3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2.3368641474706699E-3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0.154728133533414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6985</v>
      </c>
      <c r="W17">
        <f>IF((DiscreteStatsTable[[#This Row],[RepsRequested]]&gt;1),DiscreteStatsTable[[#This Row],[HalfWidth]],DiscreteStatsTable[[#This Row],[BatchMeansHalfWidth]])</f>
        <v>5.3303893752086303E-4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1</v>
      </c>
      <c r="Y17">
        <f>IF(DiscreteStatsTable[[#This Row],[RepsRequested]]=DiscreteStatsTable[[#This Row],[RepsWithStatObserved]],1,0)</f>
        <v>1</v>
      </c>
    </row>
  </sheetData>
  <phoneticPr fontId="2" type="noConversion"/>
  <conditionalFormatting sqref="H2:H17 Q2:Q17">
    <cfRule type="expression" dxfId="20" priority="23">
      <formula>H2=200000000000000000000</formula>
    </cfRule>
  </conditionalFormatting>
  <conditionalFormatting sqref="H2:H17">
    <cfRule type="expression" dxfId="19" priority="21">
      <formula>H2=300000000000000000000</formula>
    </cfRule>
  </conditionalFormatting>
  <conditionalFormatting sqref="L2:Y17">
    <cfRule type="expression" dxfId="18" priority="19">
      <formula>MOD(ROW(),2)=0</formula>
    </cfRule>
  </conditionalFormatting>
  <conditionalFormatting sqref="Y2:Y17">
    <cfRule type="expression" dxfId="17" priority="14">
      <formula>Y2=0</formula>
    </cfRule>
    <cfRule type="expression" dxfId="16" priority="16">
      <formula>Y2=1</formula>
    </cfRule>
  </conditionalFormatting>
  <conditionalFormatting sqref="Y3:Y17">
    <cfRule type="expression" dxfId="15" priority="15">
      <formula>Y3=1</formula>
    </cfRule>
  </conditionalFormatting>
  <conditionalFormatting sqref="W2:W17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7 W2:W17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"/>
  <sheetViews>
    <sheetView workbookViewId="0">
      <selection activeCell="A2" sqref="A2:L1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18.36328125" bestFit="1" customWidth="1"/>
    <col min="5" max="5" width="21.7265625" bestFit="1" customWidth="1"/>
    <col min="6" max="6" width="8.7265625" bestFit="1" customWidth="1"/>
    <col min="7" max="7" width="11.81640625" bestFit="1" customWidth="1"/>
    <col min="8" max="8" width="22.08984375" bestFit="1" customWidth="1"/>
    <col min="9" max="9" width="11.1796875" bestFit="1" customWidth="1"/>
    <col min="10" max="10" width="11.54296875" bestFit="1" customWidth="1"/>
    <col min="11" max="11" width="19.1796875" bestFit="1" customWidth="1"/>
    <col min="12" max="12" width="11.1796875" bestFit="1" customWidth="1"/>
    <col min="13" max="13" width="52.54296875" bestFit="1" customWidth="1"/>
    <col min="14" max="14" width="16" bestFit="1" customWidth="1"/>
    <col min="15" max="15" width="18.6328125" bestFit="1" customWidth="1"/>
    <col min="16" max="16" width="16.6328125" bestFit="1" customWidth="1"/>
    <col min="17" max="17" width="19" bestFit="1" customWidth="1"/>
    <col min="18" max="18" width="11.6328125" bestFit="1" customWidth="1"/>
    <col min="19" max="19" width="17.90625" bestFit="1" customWidth="1"/>
    <col min="20" max="20" width="18.36328125" bestFit="1" customWidth="1"/>
    <col min="21" max="21" width="19.63281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90</v>
      </c>
      <c r="E2" t="s">
        <v>91</v>
      </c>
      <c r="F2" t="s">
        <v>92</v>
      </c>
      <c r="G2">
        <v>7.4315924000492403E-2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ProjectAgenteInstantaneous UtilizationResource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7.4315924000492403E-2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7.4315924000492403E-2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7.4315924000492403E-2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90</v>
      </c>
      <c r="E3" t="s">
        <v>93</v>
      </c>
      <c r="F3" t="s">
        <v>92</v>
      </c>
      <c r="G3">
        <v>0.222947772001477</v>
      </c>
      <c r="H3">
        <v>3E+20</v>
      </c>
      <c r="I3">
        <v>0</v>
      </c>
      <c r="J3">
        <v>3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ProjectAgenteNumber BusyResource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0.222947772001477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0.222947772001477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0.222947772001477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90</v>
      </c>
      <c r="E4" t="s">
        <v>94</v>
      </c>
      <c r="F4" t="s">
        <v>92</v>
      </c>
      <c r="G4">
        <v>3</v>
      </c>
      <c r="H4">
        <v>2E+20</v>
      </c>
      <c r="I4">
        <v>3</v>
      </c>
      <c r="J4">
        <v>3</v>
      </c>
      <c r="K4">
        <v>3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ProjectAgenteNumber ScheduledResource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3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3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3</v>
      </c>
      <c r="U4">
        <f>IF((ContinuousStatsTable[[#This Row],[RepsRequested]]&gt;1),ContinuousStatsTable[[#This Row],[HalfWidth]],ContinuousStatsTable[[#This Row],[BatchMeansHalfWidth]])</f>
        <v>2E+20</v>
      </c>
    </row>
    <row r="5" spans="1:21" x14ac:dyDescent="0.35">
      <c r="A5" t="s">
        <v>66</v>
      </c>
      <c r="B5" t="s">
        <v>69</v>
      </c>
      <c r="C5">
        <v>1</v>
      </c>
      <c r="D5" t="s">
        <v>70</v>
      </c>
      <c r="E5" t="s">
        <v>95</v>
      </c>
      <c r="F5" t="s">
        <v>72</v>
      </c>
      <c r="G5">
        <v>3.8036367777466401E-3</v>
      </c>
      <c r="H5">
        <v>2E+20</v>
      </c>
      <c r="I5">
        <v>0</v>
      </c>
      <c r="J5">
        <v>1</v>
      </c>
      <c r="K5">
        <v>0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ProjectCaseta A.QueueNumber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3.8036367777466401E-3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3.8036367777466401E-3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3.8036367777466401E-3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73</v>
      </c>
      <c r="E6" t="s">
        <v>95</v>
      </c>
      <c r="F6" t="s">
        <v>72</v>
      </c>
      <c r="G6">
        <v>5.6668152606314701E-4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ProjectCaseta B.QueueNumber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5.6668152606314701E-4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5.6668152606314701E-4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5.6668152606314701E-4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74</v>
      </c>
      <c r="E7" t="s">
        <v>95</v>
      </c>
      <c r="F7" t="s">
        <v>72</v>
      </c>
      <c r="G7">
        <v>1.17926674618355E-4</v>
      </c>
      <c r="H7">
        <v>2E+20</v>
      </c>
      <c r="I7">
        <v>0</v>
      </c>
      <c r="J7">
        <v>1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ProjectCaseta C.QueueNumber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1.17926674618355E-4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1.17926674618355E-4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1.17926674618355E-4</v>
      </c>
      <c r="U7">
        <f>IF((ContinuousStatsTable[[#This Row],[RepsRequested]]&gt;1),ContinuousStatsTable[[#This Row],[HalfWidth]],ContinuousStatsTable[[#This Row],[BatchMeansHalfWidth]])</f>
        <v>2E+20</v>
      </c>
    </row>
    <row r="8" spans="1:21" x14ac:dyDescent="0.35">
      <c r="A8" t="s">
        <v>66</v>
      </c>
      <c r="B8" t="s">
        <v>69</v>
      </c>
      <c r="C8">
        <v>1</v>
      </c>
      <c r="D8" t="s">
        <v>75</v>
      </c>
      <c r="E8" t="s">
        <v>95</v>
      </c>
      <c r="F8" t="s">
        <v>72</v>
      </c>
      <c r="G8">
        <v>1.58574390914475E-2</v>
      </c>
      <c r="H8">
        <v>3.7154526183289E-3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ProjectCaseta D.QueueNumber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1.58574390914475E-2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1.58574390914475E-2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1.58574390914475E-2</v>
      </c>
      <c r="U8">
        <f>IF((ContinuousStatsTable[[#This Row],[RepsRequested]]&gt;1),ContinuousStatsTable[[#This Row],[HalfWidth]],ContinuousStatsTable[[#This Row],[BatchMeansHalfWidth]])</f>
        <v>3.7154526183289E-3</v>
      </c>
    </row>
    <row r="9" spans="1:21" x14ac:dyDescent="0.35">
      <c r="A9" t="s">
        <v>66</v>
      </c>
      <c r="B9" t="s">
        <v>69</v>
      </c>
      <c r="C9">
        <v>1</v>
      </c>
      <c r="D9" t="s">
        <v>76</v>
      </c>
      <c r="E9" t="s">
        <v>95</v>
      </c>
      <c r="F9" t="s">
        <v>72</v>
      </c>
      <c r="G9">
        <v>5.2324366624059903E-3</v>
      </c>
      <c r="H9">
        <v>2E+20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ProjectCaseta E.QueueNumber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5.2324366624059903E-3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5.2324366624059903E-3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5.2324366624059903E-3</v>
      </c>
      <c r="U9">
        <f>IF((ContinuousStatsTable[[#This Row],[RepsRequested]]&gt;1),ContinuousStatsTable[[#This Row],[HalfWidth]],ContinuousStatsTable[[#This Row],[BatchMeansHalfWidth]])</f>
        <v>2E+20</v>
      </c>
    </row>
    <row r="10" spans="1:21" x14ac:dyDescent="0.35">
      <c r="A10" t="s">
        <v>66</v>
      </c>
      <c r="B10" t="s">
        <v>69</v>
      </c>
      <c r="C10">
        <v>1</v>
      </c>
      <c r="D10" t="s">
        <v>77</v>
      </c>
      <c r="E10" t="s">
        <v>95</v>
      </c>
      <c r="F10" t="s">
        <v>72</v>
      </c>
      <c r="G10">
        <v>8.12156224165224E-4</v>
      </c>
      <c r="H10">
        <v>2E+20</v>
      </c>
      <c r="I10">
        <v>0</v>
      </c>
      <c r="J10">
        <v>1</v>
      </c>
      <c r="K10">
        <v>0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ProjectCola Caseta A.QueueNumber WaitingQueue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8.12156224165224E-4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8.12156224165224E-4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8.12156224165224E-4</v>
      </c>
      <c r="U10">
        <f>IF((ContinuousStatsTable[[#This Row],[RepsRequested]]&gt;1),ContinuousStatsTable[[#This Row],[HalfWidth]],ContinuousStatsTable[[#This Row],[BatchMeansHalfWidth]])</f>
        <v>2E+20</v>
      </c>
    </row>
    <row r="11" spans="1:21" x14ac:dyDescent="0.35">
      <c r="A11" t="s">
        <v>66</v>
      </c>
      <c r="B11" t="s">
        <v>69</v>
      </c>
      <c r="C11">
        <v>1</v>
      </c>
      <c r="D11" t="s">
        <v>78</v>
      </c>
      <c r="E11" t="s">
        <v>95</v>
      </c>
      <c r="F11" t="s">
        <v>72</v>
      </c>
      <c r="G11">
        <v>2.8622645297282602E-4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ProjectCola Caseta B.QueueNumber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2.8622645297282602E-4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2.8622645297282602E-4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2.8622645297282602E-4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79</v>
      </c>
      <c r="E12" t="s">
        <v>95</v>
      </c>
      <c r="F12" t="s">
        <v>72</v>
      </c>
      <c r="G12">
        <v>0</v>
      </c>
      <c r="H12">
        <v>2E+20</v>
      </c>
      <c r="I12">
        <v>0</v>
      </c>
      <c r="J12">
        <v>0</v>
      </c>
      <c r="K12">
        <v>0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ProjectCola Caseta C.QueueNumber WaitingQueue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80</v>
      </c>
      <c r="E13" t="s">
        <v>95</v>
      </c>
      <c r="F13" t="s">
        <v>72</v>
      </c>
      <c r="G13">
        <v>6.7567961293615404E-3</v>
      </c>
      <c r="H13">
        <v>2E+20</v>
      </c>
      <c r="I13">
        <v>0</v>
      </c>
      <c r="J13">
        <v>4</v>
      </c>
      <c r="K13">
        <v>0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ProjectCola Caseta D.QueueNumber WaitingQueue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6.7567961293615404E-3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6.7567961293615404E-3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6.7567961293615404E-3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81</v>
      </c>
      <c r="E14" t="s">
        <v>95</v>
      </c>
      <c r="F14" t="s">
        <v>72</v>
      </c>
      <c r="G14">
        <v>5.7294227389085997E-4</v>
      </c>
      <c r="H14">
        <v>2E+20</v>
      </c>
      <c r="I14">
        <v>0</v>
      </c>
      <c r="J14">
        <v>1</v>
      </c>
      <c r="K14">
        <v>0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ProjectCola Caseta E.QueueNumber WaitingQueue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5.7294227389085997E-4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5.7294227389085997E-4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5.7294227389085997E-4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96</v>
      </c>
      <c r="E15" t="s">
        <v>91</v>
      </c>
      <c r="F15" t="s">
        <v>92</v>
      </c>
      <c r="G15">
        <v>0.122456881384934</v>
      </c>
      <c r="H15">
        <v>1.13595832386104E-2</v>
      </c>
      <c r="I15">
        <v>0</v>
      </c>
      <c r="J15">
        <v>1</v>
      </c>
      <c r="K15">
        <v>0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ProjectPCInstantaneous UtilizationResource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0.122456881384934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0.122456881384934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0.122456881384934</v>
      </c>
      <c r="U15" s="5">
        <f>IF((ContinuousStatsTable[[#This Row],[RepsRequested]]&gt;1),ContinuousStatsTable[[#This Row],[HalfWidth]],ContinuousStatsTable[[#This Row],[BatchMeansHalfWidth]])</f>
        <v>1.13595832386104E-2</v>
      </c>
    </row>
    <row r="16" spans="1:21" x14ac:dyDescent="0.35">
      <c r="A16" t="s">
        <v>66</v>
      </c>
      <c r="B16" t="s">
        <v>69</v>
      </c>
      <c r="C16">
        <v>1</v>
      </c>
      <c r="D16" t="s">
        <v>96</v>
      </c>
      <c r="E16" t="s">
        <v>93</v>
      </c>
      <c r="F16" t="s">
        <v>92</v>
      </c>
      <c r="G16">
        <v>0.24491376276986701</v>
      </c>
      <c r="H16">
        <v>2.2719166477220699E-2</v>
      </c>
      <c r="I16">
        <v>0</v>
      </c>
      <c r="J16">
        <v>2</v>
      </c>
      <c r="K16">
        <v>0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ProjectPCNumber BusyResource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0.24491376276986701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0.24491376276986701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0.24491376276986701</v>
      </c>
      <c r="U16" s="5">
        <f>IF((ContinuousStatsTable[[#This Row],[RepsRequested]]&gt;1),ContinuousStatsTable[[#This Row],[HalfWidth]],ContinuousStatsTable[[#This Row],[BatchMeansHalfWidth]])</f>
        <v>2.2719166477220699E-2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94</v>
      </c>
      <c r="F17" t="s">
        <v>92</v>
      </c>
      <c r="G17">
        <v>2</v>
      </c>
      <c r="H17">
        <v>2E+20</v>
      </c>
      <c r="I17">
        <v>2</v>
      </c>
      <c r="J17">
        <v>2</v>
      </c>
      <c r="K17">
        <v>2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ProjectPCNumber ScheduledResource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2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2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2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82</v>
      </c>
      <c r="E18" t="s">
        <v>97</v>
      </c>
      <c r="F18" t="s">
        <v>84</v>
      </c>
      <c r="G18">
        <v>0.50186777658401804</v>
      </c>
      <c r="H18">
        <v>4.7921332126201401E-2</v>
      </c>
      <c r="I18">
        <v>0</v>
      </c>
      <c r="J18">
        <v>12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ProjectVehículoWIPEntity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0.50186777658401804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0.50186777658401804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0.50186777658401804</v>
      </c>
      <c r="U18" s="5">
        <f>IF((ContinuousStatsTable[[#This Row],[RepsRequested]]&gt;1),ContinuousStatsTable[[#This Row],[HalfWidth]],ContinuousStatsTable[[#This Row],[BatchMeansHalfWidth]])</f>
        <v>4.7921332126201401E-2</v>
      </c>
    </row>
  </sheetData>
  <phoneticPr fontId="2" type="noConversion"/>
  <conditionalFormatting sqref="H2:H18">
    <cfRule type="expression" dxfId="11" priority="9">
      <formula>H2=200000000000000000000</formula>
    </cfRule>
  </conditionalFormatting>
  <conditionalFormatting sqref="H2:H18">
    <cfRule type="expression" dxfId="10" priority="7">
      <formula>H2=300000000000000000000</formula>
    </cfRule>
  </conditionalFormatting>
  <conditionalFormatting sqref="M2:U18">
    <cfRule type="expression" dxfId="9" priority="5">
      <formula>MOD(ROW(),2)=0</formula>
    </cfRule>
  </conditionalFormatting>
  <conditionalFormatting sqref="U2:U18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18 U2:U18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7265625" bestFit="1" customWidth="1"/>
    <col min="8" max="8" width="13.36328125" bestFit="1" customWidth="1"/>
    <col min="9" max="9" width="16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8"/>
  <sheetViews>
    <sheetView workbookViewId="0">
      <selection activeCell="A2" sqref="A2:H31"/>
    </sheetView>
  </sheetViews>
  <sheetFormatPr baseColWidth="10" defaultColWidth="8.7265625" defaultRowHeight="14.5" x14ac:dyDescent="0.35"/>
  <cols>
    <col min="1" max="1" width="15.1796875" bestFit="1" customWidth="1"/>
    <col min="2" max="2" width="21" bestFit="1" customWidth="1"/>
    <col min="3" max="3" width="12.36328125" bestFit="1" customWidth="1"/>
    <col min="4" max="4" width="24.26953125" bestFit="1" customWidth="1"/>
    <col min="5" max="5" width="18.26953125" bestFit="1" customWidth="1"/>
    <col min="6" max="6" width="8.7265625" bestFit="1" customWidth="1"/>
    <col min="7" max="7" width="15.7265625" bestFit="1" customWidth="1"/>
    <col min="8" max="8" width="11.1796875" bestFit="1" customWidth="1"/>
    <col min="9" max="9" width="64.36328125" bestFit="1" customWidth="1"/>
    <col min="10" max="10" width="16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92</v>
      </c>
      <c r="G2">
        <v>3150</v>
      </c>
      <c r="H2">
        <v>0</v>
      </c>
      <c r="I2" t="str">
        <f>OutputTable[[#This Row],[ProjectName]]&amp;OutputTable[[#This Row],[Name]]&amp;OutputTable[[#This Row],[Type]]&amp;OutputTable[[#This Row],[Source]]</f>
        <v>Unnamed ProjectAgente.NumberSeizedTotal Number SeizedResource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3150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3150</v>
      </c>
      <c r="P2" cm="1">
        <f t="array" ref="P2">MAX(IF((OutputTable[GroupByKey]=OutputTable[[#This Row],[GroupByKey]]),(OutputTable[GroupByKey]=OutputTable[[#This Row],[GroupByKey]])*OutputTable[RecordedValue]))</f>
        <v>3150</v>
      </c>
    </row>
    <row r="3" spans="1:16" x14ac:dyDescent="0.35">
      <c r="A3" t="s">
        <v>66</v>
      </c>
      <c r="B3" t="s">
        <v>69</v>
      </c>
      <c r="C3">
        <v>1</v>
      </c>
      <c r="D3" t="s">
        <v>100</v>
      </c>
      <c r="E3" t="s">
        <v>101</v>
      </c>
      <c r="F3" t="s">
        <v>92</v>
      </c>
      <c r="G3">
        <v>7.4315924000492306E-2</v>
      </c>
      <c r="H3">
        <v>0</v>
      </c>
      <c r="I3" t="str">
        <f>OutputTable[[#This Row],[ProjectName]]&amp;OutputTable[[#This Row],[Name]]&amp;OutputTable[[#This Row],[Type]]&amp;OutputTable[[#This Row],[Source]]</f>
        <v>Unnamed ProjectAgente.ScheduledUtilizationScheduled UtilizationResource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7.4315924000492306E-2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7.4315924000492306E-2</v>
      </c>
      <c r="P3" cm="1">
        <f t="array" ref="P3">MAX(IF((OutputTable[GroupByKey]=OutputTable[[#This Row],[GroupByKey]]),(OutputTable[GroupByKey]=OutputTable[[#This Row],[GroupByKey]])*OutputTable[RecordedValue]))</f>
        <v>7.4315924000492306E-2</v>
      </c>
    </row>
    <row r="4" spans="1:16" x14ac:dyDescent="0.35">
      <c r="A4" t="s">
        <v>66</v>
      </c>
      <c r="B4" t="s">
        <v>69</v>
      </c>
      <c r="C4">
        <v>1</v>
      </c>
      <c r="D4" t="s">
        <v>102</v>
      </c>
      <c r="E4" t="s">
        <v>99</v>
      </c>
      <c r="F4" t="s">
        <v>92</v>
      </c>
      <c r="G4">
        <v>3835</v>
      </c>
      <c r="H4">
        <v>0</v>
      </c>
      <c r="I4" t="str">
        <f>OutputTable[[#This Row],[ProjectName]]&amp;OutputTable[[#This Row],[Name]]&amp;OutputTable[[#This Row],[Type]]&amp;OutputTable[[#This Row],[Source]]</f>
        <v>Unnamed ProjectPC.NumberSeizedTotal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3835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3835</v>
      </c>
      <c r="P4" cm="1">
        <f t="array" ref="P4">MAX(IF((OutputTable[GroupByKey]=OutputTable[[#This Row],[GroupByKey]]),(OutputTable[GroupByKey]=OutputTable[[#This Row],[GroupByKey]])*OutputTable[RecordedValue]))</f>
        <v>3835</v>
      </c>
    </row>
    <row r="5" spans="1:16" x14ac:dyDescent="0.35">
      <c r="A5" t="s">
        <v>66</v>
      </c>
      <c r="B5" t="s">
        <v>69</v>
      </c>
      <c r="C5">
        <v>1</v>
      </c>
      <c r="D5" t="s">
        <v>103</v>
      </c>
      <c r="E5" t="s">
        <v>101</v>
      </c>
      <c r="F5" t="s">
        <v>92</v>
      </c>
      <c r="G5">
        <v>0.122456881384934</v>
      </c>
      <c r="H5">
        <v>0</v>
      </c>
      <c r="I5" t="str">
        <f>OutputTable[[#This Row],[ProjectName]]&amp;OutputTable[[#This Row],[Name]]&amp;OutputTable[[#This Row],[Type]]&amp;OutputTable[[#This Row],[Source]]</f>
        <v>Unnamed ProjectPC.ScheduledUtilizationScheduled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0.122456881384934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0.122456881384934</v>
      </c>
      <c r="P5" cm="1">
        <f t="array" ref="P5">MAX(IF((OutputTable[GroupByKey]=OutputTable[[#This Row],[GroupByKey]]),(OutputTable[GroupByKey]=OutputTable[[#This Row],[GroupByKey]])*OutputTable[RecordedValue]))</f>
        <v>0.122456881384934</v>
      </c>
    </row>
    <row r="6" spans="1:16" x14ac:dyDescent="0.35">
      <c r="A6" t="s">
        <v>66</v>
      </c>
      <c r="B6" t="s">
        <v>69</v>
      </c>
      <c r="C6">
        <v>1</v>
      </c>
      <c r="D6" t="s">
        <v>104</v>
      </c>
      <c r="E6" t="s">
        <v>105</v>
      </c>
      <c r="F6" t="s">
        <v>106</v>
      </c>
      <c r="G6">
        <v>6985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6985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6985</v>
      </c>
      <c r="P6" cm="1">
        <f t="array" ref="P6">MAX(IF((OutputTable[GroupByKey]=OutputTable[[#This Row],[GroupByKey]]),(OutputTable[GroupByKey]=OutputTable[[#This Row],[GroupByKey]])*OutputTable[RecordedValue]))</f>
        <v>6985</v>
      </c>
    </row>
    <row r="7" spans="1:16" x14ac:dyDescent="0.35">
      <c r="A7" t="s">
        <v>66</v>
      </c>
      <c r="B7" t="s">
        <v>69</v>
      </c>
      <c r="C7">
        <v>1</v>
      </c>
      <c r="D7" t="s">
        <v>107</v>
      </c>
      <c r="E7" t="s">
        <v>108</v>
      </c>
      <c r="F7" t="s">
        <v>84</v>
      </c>
      <c r="G7">
        <v>14415</v>
      </c>
      <c r="H7">
        <v>0</v>
      </c>
      <c r="I7" t="str">
        <f>OutputTable[[#This Row],[ProjectName]]&amp;OutputTable[[#This Row],[Name]]&amp;OutputTable[[#This Row],[Type]]&amp;OutputTable[[#This Row],[Source]]</f>
        <v>Unnamed ProjectVehículo.NumberInNumber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14415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14415</v>
      </c>
      <c r="P7" cm="1">
        <f t="array" ref="P7">MAX(IF((OutputTable[GroupByKey]=OutputTable[[#This Row],[GroupByKey]]),(OutputTable[GroupByKey]=OutputTable[[#This Row],[GroupByKey]])*OutputTable[RecordedValue]))</f>
        <v>14415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105</v>
      </c>
      <c r="F8" t="s">
        <v>84</v>
      </c>
      <c r="G8">
        <v>14415</v>
      </c>
      <c r="H8">
        <v>0</v>
      </c>
      <c r="I8" t="str">
        <f>OutputTable[[#This Row],[ProjectName]]&amp;OutputTable[[#This Row],[Name]]&amp;OutputTable[[#This Row],[Type]]&amp;OutputTable[[#This Row],[Source]]</f>
        <v>Unnamed ProjectVehículo.NumberOutNumber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14415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14415</v>
      </c>
      <c r="P8" cm="1">
        <f t="array" ref="P8">MAX(IF((OutputTable[GroupByKey]=OutputTable[[#This Row],[GroupByKey]]),(OutputTable[GroupByKey]=OutputTable[[#This Row],[GroupByKey]])*OutputTable[RecordedValue]))</f>
        <v>14415</v>
      </c>
    </row>
  </sheetData>
  <phoneticPr fontId="2" type="noConversion"/>
  <conditionalFormatting sqref="I2:P8">
    <cfRule type="expression" dxfId="3" priority="2">
      <formula>MOD(ROW(),2)=0</formula>
    </cfRule>
  </conditionalFormatting>
  <conditionalFormatting sqref="N2:N8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baseColWidth="10" defaultColWidth="8.7265625" defaultRowHeight="14.5" x14ac:dyDescent="0.35"/>
  <cols>
    <col min="1" max="1" width="14" bestFit="1" customWidth="1"/>
    <col min="2" max="2" width="21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1796875" bestFit="1" customWidth="1"/>
    <col min="8" max="8" width="21" bestFit="1" customWidth="1"/>
    <col min="9" max="9" width="23.08984375" bestFit="1" customWidth="1"/>
    <col min="10" max="10" width="24.453125" bestFit="1" customWidth="1"/>
    <col min="11" max="11" width="15" bestFit="1" customWidth="1"/>
    <col min="12" max="12" width="13.36328125" bestFit="1" customWidth="1"/>
    <col min="13" max="13" width="28.1796875" bestFit="1" customWidth="1"/>
    <col min="14" max="14" width="29.08984375" bestFit="1" customWidth="1"/>
    <col min="15" max="15" width="16" bestFit="1" customWidth="1"/>
    <col min="16" max="16" width="27" bestFit="1" customWidth="1"/>
    <col min="17" max="17" width="27.81640625" bestFit="1" customWidth="1"/>
    <col min="18" max="18" width="29.36328125" bestFit="1" customWidth="1"/>
    <col min="19" max="19" width="28.36328125" bestFit="1" customWidth="1"/>
    <col min="20" max="20" width="26.36328125" bestFit="1" customWidth="1"/>
    <col min="21" max="21" width="29.90625" bestFit="1" customWidth="1"/>
    <col min="22" max="22" width="31.90625" bestFit="1" customWidth="1"/>
    <col min="23" max="23" width="32.089843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EDUARDO PALOU DE COMASEMA JAUME</cp:lastModifiedBy>
  <cp:lastPrinted>2022-03-22T10:33:10Z</cp:lastPrinted>
  <dcterms:created xsi:type="dcterms:W3CDTF">2020-06-29T21:30:31Z</dcterms:created>
  <dcterms:modified xsi:type="dcterms:W3CDTF">2024-12-22T13:12:00Z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